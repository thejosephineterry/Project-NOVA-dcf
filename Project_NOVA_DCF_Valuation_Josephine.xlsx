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ro forma analysis (Combined en" sheetId="2" r:id="rId6"/>
    <sheet state="visible" name="ASSUMPTIONS" sheetId="3" r:id="rId7"/>
    <sheet state="visible" name="FCF_PROJECTION" sheetId="4" r:id="rId8"/>
    <sheet state="visible" name="VALUATION_SUMMARY" sheetId="5" r:id="rId9"/>
    <sheet state="visible" name="SENSITIVITY_ANALYSIS" sheetId="6" r:id="rId10"/>
  </sheets>
  <definedNames/>
  <calcPr/>
</workbook>
</file>

<file path=xl/sharedStrings.xml><?xml version="1.0" encoding="utf-8"?>
<sst xmlns="http://schemas.openxmlformats.org/spreadsheetml/2006/main" count="177" uniqueCount="143">
  <si>
    <t>Metric</t>
  </si>
  <si>
    <t>Company</t>
  </si>
  <si>
    <t>FY2019</t>
  </si>
  <si>
    <t>FY2020</t>
  </si>
  <si>
    <t>FY2021</t>
  </si>
  <si>
    <t>FY2022</t>
  </si>
  <si>
    <t>totalRevenue</t>
  </si>
  <si>
    <t>AMZN</t>
  </si>
  <si>
    <t>NVDA</t>
  </si>
  <si>
    <t>grossProfit</t>
  </si>
  <si>
    <t>operatingIncome</t>
  </si>
  <si>
    <t>netIncome</t>
  </si>
  <si>
    <t>operatingCashFlow</t>
  </si>
  <si>
    <t>capitalExpenditures</t>
  </si>
  <si>
    <t>depreciation</t>
  </si>
  <si>
    <t>N:B</t>
  </si>
  <si>
    <t>All figures in USD Millions</t>
  </si>
  <si>
    <t>Project NOVA: Combined Entity Financial Summary</t>
  </si>
  <si>
    <t>All figures in USD Billions</t>
  </si>
  <si>
    <t>AMZN Revenue</t>
  </si>
  <si>
    <t>NVDA Revenue</t>
  </si>
  <si>
    <t>NOVA Combined Revenue</t>
  </si>
  <si>
    <t>Synergy Adjustment</t>
  </si>
  <si>
    <t>NOVA Adjusted Revenue</t>
  </si>
  <si>
    <t>AMZN Gross Profit</t>
  </si>
  <si>
    <t>NVDA Gross Profit</t>
  </si>
  <si>
    <t>NOVA Combined Gross Profit</t>
  </si>
  <si>
    <t>AMZN Operating Income</t>
  </si>
  <si>
    <t>NVDA Operating Income</t>
  </si>
  <si>
    <t>NOVA Combined Operating Income</t>
  </si>
  <si>
    <t>AMZN Net Income</t>
  </si>
  <si>
    <t>NVDA Net Income</t>
  </si>
  <si>
    <t>NOVA Combined Net Income</t>
  </si>
  <si>
    <t>AMZN Operating Cashflow</t>
  </si>
  <si>
    <t>NVDA Operating Cashflow</t>
  </si>
  <si>
    <t>NOVA Combined Operating Cashflow</t>
  </si>
  <si>
    <t>AMZN CapEx</t>
  </si>
  <si>
    <t>NVDA CapEx</t>
  </si>
  <si>
    <t>NOVA Combined CapEx</t>
  </si>
  <si>
    <t>NOVA Free Cash Flow (FCF)</t>
  </si>
  <si>
    <t>AMZN Depreciatiom</t>
  </si>
  <si>
    <t>NVDA Depreciation</t>
  </si>
  <si>
    <t>NOVA Combined Depreciation</t>
  </si>
  <si>
    <t>Project NOVA: Model Assumptions</t>
  </si>
  <si>
    <t>All rates and percentages in decimal form (e.g. 12% = 0.12)</t>
  </si>
  <si>
    <t>Assumptions</t>
  </si>
  <si>
    <t>Value</t>
  </si>
  <si>
    <t>Rationale</t>
  </si>
  <si>
    <t>Revenue Growth Rate: Year 1</t>
  </si>
  <si>
    <t>AI infrastructure demand accelerating. AWS growing double digits. NVIDIA chip demand surging with AI adoption.</t>
  </si>
  <si>
    <t>Revenue Growth Rate: Year 2</t>
  </si>
  <si>
    <t>Merger synergies beginning to materialise. NVIDIA chips selling directly through AWS platform. Combined R&amp;D accelerating product development.</t>
  </si>
  <si>
    <t>Revenue Growth Rate: Year 3</t>
  </si>
  <si>
    <t>Synergies fully realised but growth beginning to normalise as combined entity matures. AI infrastructure market remains strong but early hyper-growth phase moderating.</t>
  </si>
  <si>
    <t>Revenue Growth Rate: Year 4</t>
  </si>
  <si>
    <t>Growth continuing to normalise as NOVA approaches scale ceiling. Market share gains slowing as competition intensifies in cloud and AI chip markets.</t>
  </si>
  <si>
    <t>Revenue Growth Rate: Year 5</t>
  </si>
  <si>
    <t>Approaching sustainable long term growth. Combined entity now one of largest companies globally. Maintaining 8% growth at this scale represents strong performance.</t>
  </si>
  <si>
    <t>FCF Margin: Year 1</t>
  </si>
  <si>
    <t>Conservative recovery from negative FCF position. CapEx beginning to normalise relative to revenue growth.</t>
  </si>
  <si>
    <t xml:space="preserve">FCF Margin: Year 2 </t>
  </si>
  <si>
    <t>Synergy cost savings improving cash conversion.</t>
  </si>
  <si>
    <t>FCF Margin: Year 3</t>
  </si>
  <si>
    <t>Operating leverage building as revenue scales on existing infrastructure.</t>
  </si>
  <si>
    <t>FCF Margin: Year 4</t>
  </si>
  <si>
    <t>CapEx normalising. AWS and AI chip revenues highly scalable with minimal incremental cost.</t>
  </si>
  <si>
    <t>FCF Margin: Year 5</t>
  </si>
  <si>
    <t>Mature margin profile. Combined entity operating at full efficiency with diversified high margin revenue streams.</t>
  </si>
  <si>
    <t>WACC- Discount Rate</t>
  </si>
  <si>
    <t>Blended WACC for combined entity. Derived from CAPM using 4.5% risk free rate, Amazon Beta 1.2, NVIDIA Beta 1.7, 5.5% market risk premium. Amazon dominates combined entity at 94% weight pulling blended WACC to 9.5%.</t>
  </si>
  <si>
    <t>Terminal Growth Rate</t>
  </si>
  <si>
    <t>Above long term global GDP growth of 2.5%, justified by NOVA's dominance in AI infrastructure and cloud computing. Conservative relative to current sector growth rates.</t>
  </si>
  <si>
    <t>Tax Rate</t>
  </si>
  <si>
    <t>Based on Amazon's effective tax rate from financial statements. Lower than US statutory rate of 21% due to R&amp;D tax credits, stock based compensation deductions and international tax structures.</t>
  </si>
  <si>
    <t>Synergy Premium: Year 1</t>
  </si>
  <si>
    <t>Merger just completed. Integration ongoing. No synergies realised in first year.</t>
  </si>
  <si>
    <t>Synergy Premium: Year 2</t>
  </si>
  <si>
    <t>Initial synergies materialising. NVIDIA chips integrated into AWS platform. Duplicate operational costs being eliminated.</t>
  </si>
  <si>
    <t>Synergy Premium: Year 3+</t>
  </si>
  <si>
    <t>Full synergy realisation. Combined R&amp;D producing superior products. Cross selling fully operational across both customer bases.</t>
  </si>
  <si>
    <t>Net Debt</t>
  </si>
  <si>
    <t>Estimated combined net debt position. Amazon total debt approximately $67B offset by $35B cash. NVIDIA minimal debt position. Combined net debt approximately $32B.</t>
  </si>
  <si>
    <t>Project NOVA: 5 Year FCF Projection</t>
  </si>
  <si>
    <t>Year 1</t>
  </si>
  <si>
    <t>Year 2</t>
  </si>
  <si>
    <t>Year 3</t>
  </si>
  <si>
    <t>Year 4</t>
  </si>
  <si>
    <t>Year 5</t>
  </si>
  <si>
    <t>FY2023</t>
  </si>
  <si>
    <t>FY2024</t>
  </si>
  <si>
    <t>FY2025</t>
  </si>
  <si>
    <t>FY2026</t>
  </si>
  <si>
    <t>FY2027</t>
  </si>
  <si>
    <t>Base Revenue (FY2022)</t>
  </si>
  <si>
    <t>Projected Revenue</t>
  </si>
  <si>
    <t>Free Cash Flow</t>
  </si>
  <si>
    <t>Discount Factor</t>
  </si>
  <si>
    <t>Present Value of FCF</t>
  </si>
  <si>
    <t>Sum of PV (FCFs)</t>
  </si>
  <si>
    <t>Terminal Value</t>
  </si>
  <si>
    <t>PV of Terminal Value</t>
  </si>
  <si>
    <t>Enterprise Value</t>
  </si>
  <si>
    <t>Less Net Debt</t>
  </si>
  <si>
    <t>Equity Value</t>
  </si>
  <si>
    <t>Project NOVA: Valuation Summary</t>
  </si>
  <si>
    <t>Hypothetical Merger: Amazon (AMZN) + NVIDIA (NVDA)</t>
  </si>
  <si>
    <t>DEAL OVERVIEW</t>
  </si>
  <si>
    <t>Combined Entity</t>
  </si>
  <si>
    <t>Amazon (AMZN) + NVIDIA (NVDA)</t>
  </si>
  <si>
    <t>Base Year</t>
  </si>
  <si>
    <t>Forecast Period</t>
  </si>
  <si>
    <t>FY2023-FY2027</t>
  </si>
  <si>
    <t>KEY ASSUMPTIONS</t>
  </si>
  <si>
    <t>WACC</t>
  </si>
  <si>
    <t>TERNINAL GROWTH RATE</t>
  </si>
  <si>
    <t>TAX RATE</t>
  </si>
  <si>
    <t>Year 1 Revenue Growth</t>
  </si>
  <si>
    <t>Year 5 Revenue Growth</t>
  </si>
  <si>
    <t>Peak Synergy Premium</t>
  </si>
  <si>
    <t>VALUATION OUTPUTS</t>
  </si>
  <si>
    <t>Year 5 Projected Revenue</t>
  </si>
  <si>
    <t>Year 1 Free Cash Flow</t>
  </si>
  <si>
    <t>Year 5 Free Cash Flow</t>
  </si>
  <si>
    <t>Sum of PV of FCFs</t>
  </si>
  <si>
    <t>KEY INSIGHTS</t>
  </si>
  <si>
    <t>Revenue Growth</t>
  </si>
  <si>
    <t>NOVA grows from $118B to $267B over 5 years, a 127% increase driven by AI infrastructure demand and merger synergies</t>
  </si>
  <si>
    <t>FCF Transformation</t>
  </si>
  <si>
    <t>FCF transforms from -$7.1B in FY2022 to +$28.1B in Year 5 as heavy CapEx investment phase concludes</t>
  </si>
  <si>
    <t>Value Composition</t>
  </si>
  <si>
    <t>Terminal Value represents 80% of Enterprise Value, reflecting NOVA's long duration cash generation profile</t>
  </si>
  <si>
    <t>Synergy Impact</t>
  </si>
  <si>
    <t>Synergy premium adds approximately $35B in cumulative revenue over the forecast period</t>
  </si>
  <si>
    <t>Model built by Opene-Terry Josephine | Project NOVA DCF Valuation | Data Source: S&amp;P 500 Financial Statements</t>
  </si>
  <si>
    <t>Project NOVA — Sensitivity Analysis</t>
  </si>
  <si>
    <t>Base Case: Enterprise Value $352,396M | Equity Value $320,396M</t>
  </si>
  <si>
    <t>TABLE 1: Enterprise Value Sensitivity</t>
  </si>
  <si>
    <t>WACC vs Terminal Growth Rate (USD Millions)</t>
  </si>
  <si>
    <t>WACC / TGR</t>
  </si>
  <si>
    <t>TABLE 2: Equity Value Sensitivity</t>
  </si>
  <si>
    <t>Year 1 Revenue Growth vs Year 1 FCF Margin (USD Millions)</t>
  </si>
  <si>
    <t>Growth / Margin</t>
  </si>
  <si>
    <t>Note: Table 2 uses simplified single-stage perpetuity model for directional sensitivity. Full 5-year DCF in FCF_PROJECTION sheet.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</si>
</sst>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EAECF0"/>
      <name val="Var(--font-mono)"/>
    </font>
    <font>
      <b/>
      <i/>
      <color rgb="FF000000"/>
      <name val="Var(--font-mono)"/>
    </font>
    <font>
      <b/>
      <i/>
      <color rgb="FF000000"/>
      <name val="Arial"/>
      <scheme val="minor"/>
    </font>
    <font>
      <b/>
      <color rgb="FFEAECF0"/>
      <name val="Var(--font-mono)"/>
    </font>
    <font>
      <b/>
      <color rgb="FFCC7BF4"/>
      <name val="Var(--font-mono)"/>
    </font>
    <font>
      <b/>
      <color rgb="FFD3D7DE"/>
      <name val="Var(--font-mono)"/>
    </font>
    <font>
      <b/>
      <color rgb="FF818898"/>
      <name val="Var(--font-mono)"/>
    </font>
    <font>
      <b/>
      <color rgb="FF9BE963"/>
      <name val="Var(--font-mono)"/>
    </font>
    <font>
      <b/>
      <color rgb="FF5EEDED"/>
      <name val="Var(--font-mono)"/>
    </font>
    <font>
      <b/>
      <color rgb="FFF47B85"/>
      <name val="Var(--font-mono)"/>
    </font>
    <font>
      <b/>
      <sz val="14.0"/>
      <color rgb="FFF47B85"/>
      <name val="Var(--font-mono)"/>
    </font>
    <font>
      <sz val="15.0"/>
      <color rgb="FFF47B85"/>
      <name val="Var(--font-anthropicons"/>
    </font>
    <font>
      <sz val="9.0"/>
      <color rgb="FFF47B85"/>
      <name val="Var(--font-anthropicons"/>
    </font>
    <font>
      <color rgb="FFFFFFFF"/>
      <name val="Arial"/>
      <scheme val="minor"/>
    </font>
    <font>
      <b/>
      <color rgb="FFFFFFFF"/>
      <name val="Arial"/>
      <scheme val="minor"/>
    </font>
    <font>
      <i/>
      <color rgb="FFB7B7B7"/>
      <name val="Arial"/>
      <scheme val="minor"/>
    </font>
    <font>
      <b/>
      <color rgb="FF000000"/>
      <name val="Arial"/>
      <scheme val="minor"/>
    </font>
    <font>
      <b/>
      <i/>
      <color rgb="FFB7B7B7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  <fill>
      <patternFill patternType="solid">
        <fgColor rgb="FF1C4587"/>
        <bgColor rgb="FF1C4587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3" numFmtId="9" xfId="0" applyAlignment="1" applyFont="1" applyNumberFormat="1">
      <alignment readingOrder="0"/>
    </xf>
    <xf borderId="0" fillId="0" fontId="6" numFmtId="0" xfId="0" applyAlignment="1" applyFont="1">
      <alignment horizontal="center"/>
    </xf>
    <xf borderId="0" fillId="0" fontId="3" numFmtId="10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8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3" xfId="0" applyAlignment="1" applyFont="1" applyNumberFormat="1">
      <alignment horizontal="right" readingOrder="0"/>
    </xf>
    <xf borderId="0" fillId="3" fontId="1" numFmtId="0" xfId="0" applyAlignment="1" applyFill="1" applyFont="1">
      <alignment readingOrder="0"/>
    </xf>
    <xf borderId="0" fillId="3" fontId="2" numFmtId="3" xfId="0" applyAlignment="1" applyFont="1" applyNumberFormat="1">
      <alignment horizontal="right" readingOrder="0"/>
    </xf>
    <xf borderId="0" fillId="0" fontId="2" numFmtId="3" xfId="0" applyFont="1" applyNumberFormat="1"/>
    <xf borderId="0" fillId="2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1" numFmtId="3" xfId="0" applyFont="1" applyNumberFormat="1"/>
    <xf borderId="0" fillId="0" fontId="2" numFmtId="10" xfId="0" applyFont="1" applyNumberFormat="1"/>
    <xf borderId="0" fillId="0" fontId="1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" numFmtId="0" xfId="0" applyFont="1"/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4" fontId="16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4" xfId="0" applyFont="1" applyNumberForma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6" fontId="17" numFmtId="0" xfId="0" applyAlignment="1" applyBorder="1" applyFill="1" applyFont="1">
      <alignment readingOrder="0"/>
    </xf>
    <xf borderId="1" fillId="0" fontId="2" numFmtId="10" xfId="0" applyBorder="1" applyFont="1" applyNumberFormat="1"/>
    <xf borderId="1" fillId="0" fontId="2" numFmtId="1" xfId="0" applyBorder="1" applyFont="1" applyNumberFormat="1"/>
    <xf borderId="1" fillId="0" fontId="2" numFmtId="4" xfId="0" applyBorder="1" applyFont="1" applyNumberFormat="1"/>
    <xf borderId="1" fillId="7" fontId="17" numFmtId="0" xfId="0" applyAlignment="1" applyBorder="1" applyFill="1" applyFont="1">
      <alignment readingOrder="0"/>
    </xf>
    <xf borderId="1" fillId="7" fontId="17" numFmtId="4" xfId="0" applyBorder="1" applyFont="1" applyNumberFormat="1"/>
    <xf borderId="1" fillId="8" fontId="2" numFmtId="0" xfId="0" applyAlignment="1" applyBorder="1" applyFill="1" applyFont="1">
      <alignment readingOrder="0"/>
    </xf>
    <xf borderId="1" fillId="8" fontId="2" numFmtId="4" xfId="0" applyBorder="1" applyFont="1" applyNumberFormat="1"/>
    <xf borderId="1" fillId="9" fontId="17" numFmtId="0" xfId="0" applyAlignment="1" applyBorder="1" applyFill="1" applyFont="1">
      <alignment readingOrder="0"/>
    </xf>
    <xf borderId="1" fillId="9" fontId="17" numFmtId="4" xfId="0" applyBorder="1" applyFont="1" applyNumberFormat="1"/>
    <xf borderId="1" fillId="10" fontId="17" numFmtId="0" xfId="0" applyAlignment="1" applyBorder="1" applyFill="1" applyFont="1">
      <alignment readingOrder="0"/>
    </xf>
    <xf borderId="0" fillId="0" fontId="18" numFmtId="0" xfId="0" applyAlignment="1" applyFont="1">
      <alignment readingOrder="0"/>
    </xf>
    <xf borderId="0" fillId="6" fontId="17" numFmtId="0" xfId="0" applyAlignment="1" applyFont="1">
      <alignment readingOrder="0"/>
    </xf>
    <xf borderId="0" fillId="11" fontId="19" numFmtId="4" xfId="0" applyFill="1" applyFont="1" applyNumberFormat="1"/>
    <xf borderId="0" fillId="10" fontId="17" numFmtId="0" xfId="0" applyAlignment="1" applyFont="1">
      <alignment readingOrder="0"/>
    </xf>
    <xf borderId="0" fillId="0" fontId="2" numFmtId="3" xfId="0" applyFont="1" applyNumberFormat="1"/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/>
      <c r="I1" s="1"/>
    </row>
    <row r="2">
      <c r="A2" s="3" t="s">
        <v>6</v>
      </c>
      <c r="B2" s="3" t="s">
        <v>7</v>
      </c>
      <c r="C2" s="4">
        <v>125555.0</v>
      </c>
      <c r="D2" s="4">
        <v>108518.0</v>
      </c>
      <c r="E2" s="4">
        <v>113080.0</v>
      </c>
      <c r="F2" s="4">
        <v>110812.0</v>
      </c>
    </row>
    <row r="3">
      <c r="A3" s="3" t="s">
        <v>6</v>
      </c>
      <c r="B3" s="3" t="s">
        <v>8</v>
      </c>
      <c r="C3" s="4">
        <v>5003.0</v>
      </c>
      <c r="D3" s="4">
        <v>5661.0</v>
      </c>
      <c r="E3" s="4">
        <v>6507.0</v>
      </c>
      <c r="F3" s="4">
        <v>7103.0</v>
      </c>
    </row>
    <row r="4">
      <c r="A4" s="3" t="s">
        <v>9</v>
      </c>
      <c r="B4" s="3" t="s">
        <v>7</v>
      </c>
      <c r="C4" s="4">
        <v>46271.0</v>
      </c>
      <c r="D4" s="4">
        <v>46115.0</v>
      </c>
      <c r="E4" s="4">
        <v>48904.0</v>
      </c>
      <c r="F4" s="4">
        <v>47882.0</v>
      </c>
    </row>
    <row r="5">
      <c r="A5" s="3" t="s">
        <v>9</v>
      </c>
      <c r="B5" s="3" t="s">
        <v>8</v>
      </c>
      <c r="C5" s="4">
        <v>3156.0</v>
      </c>
      <c r="D5" s="4">
        <v>3629.0</v>
      </c>
      <c r="E5" s="4">
        <v>4215.0</v>
      </c>
      <c r="F5" s="4">
        <v>4631.0</v>
      </c>
    </row>
    <row r="6">
      <c r="A6" s="3" t="s">
        <v>10</v>
      </c>
      <c r="B6" s="3" t="s">
        <v>7</v>
      </c>
      <c r="C6" s="4">
        <v>6873.0</v>
      </c>
      <c r="D6" s="4">
        <v>8865.0</v>
      </c>
      <c r="E6" s="4">
        <v>7702.0</v>
      </c>
      <c r="F6" s="4">
        <v>4852.0</v>
      </c>
    </row>
    <row r="7">
      <c r="A7" s="3" t="s">
        <v>10</v>
      </c>
      <c r="B7" s="3" t="s">
        <v>8</v>
      </c>
      <c r="C7" s="4">
        <v>1508.0</v>
      </c>
      <c r="D7" s="4">
        <v>1956.0</v>
      </c>
      <c r="E7" s="4">
        <v>2444.0</v>
      </c>
      <c r="F7" s="4">
        <v>2671.0</v>
      </c>
    </row>
    <row r="8">
      <c r="A8" s="3" t="s">
        <v>11</v>
      </c>
      <c r="B8" s="3" t="s">
        <v>7</v>
      </c>
      <c r="C8" s="4">
        <v>7222.0</v>
      </c>
      <c r="D8" s="4">
        <v>8107.0</v>
      </c>
      <c r="E8" s="4">
        <v>7778.0</v>
      </c>
      <c r="F8" s="4">
        <v>3156.0</v>
      </c>
    </row>
    <row r="9">
      <c r="A9" s="3" t="s">
        <v>11</v>
      </c>
      <c r="B9" s="3" t="s">
        <v>8</v>
      </c>
      <c r="C9" s="4">
        <v>1457.0</v>
      </c>
      <c r="D9" s="4">
        <v>1912.0</v>
      </c>
      <c r="E9" s="4">
        <v>2374.0</v>
      </c>
      <c r="F9" s="4">
        <v>2464.0</v>
      </c>
    </row>
    <row r="10">
      <c r="A10" s="3" t="s">
        <v>12</v>
      </c>
      <c r="B10" s="3" t="s">
        <v>7</v>
      </c>
      <c r="C10" s="4">
        <v>30431.0</v>
      </c>
      <c r="D10" s="4">
        <v>4213.0</v>
      </c>
      <c r="E10" s="4">
        <v>12715.0</v>
      </c>
      <c r="F10" s="4">
        <v>7313.0</v>
      </c>
    </row>
    <row r="11">
      <c r="A11" s="3" t="s">
        <v>12</v>
      </c>
      <c r="B11" s="3" t="s">
        <v>8</v>
      </c>
      <c r="C11" s="4">
        <v>2067.0</v>
      </c>
      <c r="D11" s="4">
        <v>1874.0</v>
      </c>
      <c r="E11" s="4">
        <v>2682.0</v>
      </c>
      <c r="F11" s="4">
        <v>1519.0</v>
      </c>
    </row>
    <row r="12">
      <c r="A12" s="3" t="s">
        <v>13</v>
      </c>
      <c r="B12" s="3" t="s">
        <v>7</v>
      </c>
      <c r="C12" s="4">
        <v>-14823.0</v>
      </c>
      <c r="D12" s="4">
        <v>-12082.0</v>
      </c>
      <c r="E12" s="4">
        <v>-14288.0</v>
      </c>
      <c r="F12" s="4">
        <v>-15748.0</v>
      </c>
      <c r="H12" s="1"/>
      <c r="I12" s="1"/>
    </row>
    <row r="13">
      <c r="A13" s="3" t="s">
        <v>13</v>
      </c>
      <c r="B13" s="3" t="s">
        <v>8</v>
      </c>
      <c r="C13" s="5">
        <v>-283.0</v>
      </c>
      <c r="D13" s="5">
        <v>-298.0</v>
      </c>
      <c r="E13" s="5">
        <v>-183.0</v>
      </c>
      <c r="F13" s="5">
        <v>-222.0</v>
      </c>
    </row>
    <row r="14">
      <c r="A14" s="3" t="s">
        <v>14</v>
      </c>
      <c r="B14" s="3" t="s">
        <v>7</v>
      </c>
      <c r="C14" s="4">
        <v>7618.0</v>
      </c>
      <c r="D14" s="4">
        <v>7508.0</v>
      </c>
      <c r="E14" s="4">
        <v>8038.0</v>
      </c>
      <c r="F14" s="4">
        <v>8948.0</v>
      </c>
    </row>
    <row r="15">
      <c r="A15" s="3" t="s">
        <v>14</v>
      </c>
      <c r="B15" s="3" t="s">
        <v>8</v>
      </c>
      <c r="C15" s="5">
        <v>288.0</v>
      </c>
      <c r="D15" s="5">
        <v>281.0</v>
      </c>
      <c r="E15" s="5">
        <v>286.0</v>
      </c>
      <c r="F15" s="5">
        <v>298.0</v>
      </c>
    </row>
    <row r="16">
      <c r="A16" s="6"/>
    </row>
    <row r="17">
      <c r="A17" s="7"/>
    </row>
    <row r="18">
      <c r="A18" s="8" t="s">
        <v>15</v>
      </c>
      <c r="B18" s="9" t="s">
        <v>16</v>
      </c>
      <c r="C18" s="10"/>
    </row>
    <row r="19">
      <c r="A19" s="7"/>
    </row>
    <row r="20">
      <c r="A20" s="6"/>
    </row>
    <row r="21">
      <c r="A21" s="7"/>
    </row>
    <row r="22">
      <c r="A22" s="11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7"/>
      <c r="B33" s="11"/>
      <c r="C33" s="11"/>
    </row>
    <row r="34">
      <c r="A34" s="6"/>
      <c r="B34" s="12"/>
      <c r="C34" s="6"/>
    </row>
    <row r="35">
      <c r="A35" s="7"/>
      <c r="B35" s="12"/>
      <c r="C35" s="6"/>
    </row>
    <row r="36">
      <c r="A36" s="6"/>
      <c r="B36" s="12"/>
      <c r="C36" s="6"/>
    </row>
    <row r="37">
      <c r="A37" s="7"/>
      <c r="B37" s="12"/>
      <c r="C37" s="6"/>
    </row>
    <row r="38">
      <c r="A38" s="13"/>
      <c r="B38" s="12"/>
      <c r="C38" s="6"/>
    </row>
    <row r="39">
      <c r="A39" s="6"/>
      <c r="B39" s="14"/>
      <c r="C39" s="6"/>
    </row>
    <row r="40">
      <c r="A40" s="6"/>
      <c r="B40" s="14"/>
      <c r="C40" s="6"/>
    </row>
    <row r="41">
      <c r="A41" s="6"/>
      <c r="B41" s="12"/>
      <c r="C41" s="6"/>
    </row>
    <row r="42">
      <c r="A42" s="6"/>
      <c r="B42" s="14"/>
      <c r="C42" s="6"/>
    </row>
    <row r="43">
      <c r="A43" s="6"/>
      <c r="B43" s="6"/>
      <c r="C43" s="6"/>
    </row>
    <row r="44">
      <c r="A44" s="7"/>
    </row>
    <row r="45">
      <c r="A45" s="6"/>
    </row>
    <row r="46">
      <c r="A46" s="7"/>
    </row>
    <row r="47">
      <c r="A47" s="6"/>
    </row>
    <row r="48">
      <c r="A48" s="7"/>
    </row>
    <row r="49">
      <c r="A49" s="6"/>
      <c r="B49" s="11"/>
      <c r="C49" s="11"/>
      <c r="D49" s="11"/>
      <c r="E49" s="11"/>
      <c r="F49" s="11"/>
      <c r="G49" s="11"/>
    </row>
    <row r="50">
      <c r="A50" s="7"/>
      <c r="B50" s="6"/>
      <c r="C50" s="6"/>
      <c r="D50" s="6"/>
      <c r="E50" s="6"/>
      <c r="F50" s="6"/>
      <c r="G50" s="6"/>
    </row>
    <row r="51">
      <c r="A51" s="11"/>
      <c r="B51" s="14"/>
      <c r="C51" s="14"/>
      <c r="D51" s="14"/>
      <c r="E51" s="14"/>
      <c r="F51" s="14"/>
      <c r="G51" s="14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7"/>
    </row>
    <row r="62">
      <c r="A62" s="6"/>
      <c r="B62" s="11"/>
    </row>
    <row r="63">
      <c r="A63" s="7"/>
      <c r="B63" s="6"/>
    </row>
    <row r="64">
      <c r="A64" s="6"/>
      <c r="B64" s="6"/>
    </row>
    <row r="65">
      <c r="A65" s="7"/>
      <c r="B65" s="6"/>
    </row>
    <row r="66">
      <c r="A66" s="6"/>
      <c r="B66" s="6"/>
    </row>
    <row r="67">
      <c r="A67" s="6"/>
      <c r="B67" s="6"/>
    </row>
    <row r="68">
      <c r="A68" s="7"/>
      <c r="B68" s="6"/>
    </row>
    <row r="69">
      <c r="A69" s="6"/>
      <c r="B69" s="6"/>
    </row>
    <row r="70">
      <c r="A70" s="7"/>
      <c r="B70" s="6"/>
    </row>
    <row r="71">
      <c r="A71" s="15"/>
      <c r="B71" s="6"/>
    </row>
    <row r="72">
      <c r="A72" s="16"/>
    </row>
    <row r="73">
      <c r="A73" s="15"/>
    </row>
    <row r="74">
      <c r="A74" s="16"/>
    </row>
    <row r="75">
      <c r="A75" s="15"/>
    </row>
    <row r="76">
      <c r="A76" s="16"/>
    </row>
    <row r="77">
      <c r="A77" s="15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8"/>
    </row>
    <row r="86">
      <c r="A86" s="19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1"/>
    </row>
    <row r="95">
      <c r="A95" s="20"/>
    </row>
    <row r="96">
      <c r="A96" s="21"/>
    </row>
    <row r="97">
      <c r="A97" s="20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9"/>
    </row>
    <row r="106">
      <c r="A106" s="18"/>
    </row>
    <row r="107">
      <c r="A107" s="19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9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9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22"/>
    </row>
    <row r="128">
      <c r="A128" s="18"/>
    </row>
    <row r="129">
      <c r="A129" s="22"/>
    </row>
    <row r="130">
      <c r="A130" s="18"/>
    </row>
    <row r="131">
      <c r="A131" s="19"/>
    </row>
    <row r="132">
      <c r="A132" s="23"/>
    </row>
    <row r="133">
      <c r="A133" s="23"/>
    </row>
    <row r="134">
      <c r="A134" s="18"/>
    </row>
    <row r="135">
      <c r="A135" s="18"/>
    </row>
    <row r="136">
      <c r="A136" s="18"/>
    </row>
    <row r="137">
      <c r="A137" s="18"/>
    </row>
    <row r="138">
      <c r="A138" s="19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9"/>
    </row>
    <row r="147">
      <c r="A147" s="18"/>
    </row>
    <row r="148">
      <c r="A148" s="19"/>
    </row>
    <row r="149">
      <c r="A149" s="18"/>
    </row>
    <row r="150">
      <c r="A150" s="19"/>
    </row>
    <row r="151">
      <c r="A151" s="18"/>
    </row>
    <row r="152">
      <c r="A152" s="23"/>
    </row>
    <row r="153">
      <c r="A153" s="19"/>
    </row>
    <row r="154">
      <c r="A154" s="15"/>
    </row>
    <row r="155">
      <c r="A155" s="19"/>
    </row>
    <row r="156">
      <c r="A156" s="15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22"/>
    </row>
    <row r="167">
      <c r="A167" s="18"/>
    </row>
    <row r="168">
      <c r="A168" s="22"/>
    </row>
    <row r="169">
      <c r="A169" s="18"/>
    </row>
    <row r="170">
      <c r="A170" s="18"/>
    </row>
    <row r="171">
      <c r="A171" s="18"/>
    </row>
    <row r="172">
      <c r="A172" s="18"/>
    </row>
    <row r="173">
      <c r="A173" s="15"/>
    </row>
    <row r="174">
      <c r="A174" s="23"/>
    </row>
    <row r="175">
      <c r="A175" s="23"/>
    </row>
    <row r="176">
      <c r="A176" s="18"/>
    </row>
    <row r="177">
      <c r="A177" s="19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22"/>
    </row>
    <row r="199">
      <c r="A199" s="18"/>
    </row>
    <row r="200">
      <c r="A200" s="22"/>
    </row>
    <row r="201">
      <c r="A201" s="18"/>
    </row>
    <row r="202">
      <c r="A202" s="18"/>
    </row>
    <row r="203">
      <c r="A203" s="19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9"/>
    </row>
    <row r="216">
      <c r="A216" s="18"/>
    </row>
    <row r="217">
      <c r="A217" s="23"/>
    </row>
    <row r="218">
      <c r="A218" s="23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22"/>
    </row>
    <row r="230">
      <c r="A230" s="18"/>
    </row>
    <row r="231">
      <c r="A231" s="22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23"/>
    </row>
    <row r="241">
      <c r="A241" s="18"/>
    </row>
    <row r="242">
      <c r="A242" s="23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20"/>
    </row>
    <row r="250">
      <c r="A250" s="18"/>
    </row>
    <row r="251">
      <c r="A251" s="18"/>
    </row>
    <row r="252">
      <c r="A252" s="18"/>
    </row>
    <row r="253">
      <c r="A253" s="18"/>
    </row>
    <row r="254">
      <c r="A254" s="19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22"/>
    </row>
    <row r="265">
      <c r="A265" s="18"/>
    </row>
    <row r="266">
      <c r="A266" s="22"/>
    </row>
    <row r="267">
      <c r="A267" s="18"/>
    </row>
    <row r="268">
      <c r="A268" s="18"/>
    </row>
    <row r="269">
      <c r="A269" s="18"/>
    </row>
    <row r="270">
      <c r="A270" s="19"/>
    </row>
    <row r="271">
      <c r="A271" s="18"/>
    </row>
    <row r="272">
      <c r="A272" s="18"/>
    </row>
    <row r="273">
      <c r="A273" s="18"/>
    </row>
    <row r="274">
      <c r="A274" s="18"/>
    </row>
    <row r="275">
      <c r="A275" s="19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24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24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24"/>
    </row>
    <row r="336">
      <c r="A336" s="24"/>
    </row>
    <row r="337">
      <c r="A337" s="25"/>
    </row>
    <row r="338">
      <c r="A338" s="26"/>
    </row>
    <row r="339">
      <c r="A339" s="25"/>
    </row>
    <row r="340">
      <c r="A340" s="26"/>
    </row>
    <row r="341">
      <c r="A341" s="25"/>
    </row>
    <row r="342">
      <c r="A342" s="26"/>
    </row>
    <row r="343">
      <c r="A343" s="25"/>
    </row>
    <row r="344">
      <c r="A344" s="26"/>
    </row>
    <row r="345">
      <c r="A345" s="25"/>
    </row>
    <row r="346">
      <c r="A346" s="26"/>
    </row>
    <row r="347">
      <c r="A347" s="25"/>
    </row>
    <row r="348">
      <c r="A348" s="27"/>
    </row>
    <row r="349">
      <c r="A349" s="27"/>
    </row>
    <row r="350">
      <c r="A350" s="28"/>
    </row>
    <row r="351">
      <c r="A351" s="28"/>
    </row>
    <row r="352">
      <c r="A352" s="27"/>
    </row>
    <row r="353">
      <c r="A353" s="27"/>
    </row>
    <row r="354">
      <c r="A354" s="29"/>
    </row>
    <row r="355">
      <c r="A355" s="29"/>
    </row>
    <row r="356">
      <c r="A356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30" t="s">
        <v>17</v>
      </c>
      <c r="B1" s="2"/>
      <c r="C1" s="2"/>
      <c r="D1" s="2"/>
      <c r="E1" s="2"/>
    </row>
    <row r="2">
      <c r="A2" s="30" t="s">
        <v>18</v>
      </c>
      <c r="B2" s="4"/>
      <c r="C2" s="4"/>
      <c r="D2" s="4"/>
      <c r="E2" s="4"/>
    </row>
    <row r="3">
      <c r="B3" s="4"/>
      <c r="C3" s="4"/>
      <c r="D3" s="4"/>
      <c r="E3" s="4"/>
    </row>
    <row r="4">
      <c r="A4" s="1" t="s">
        <v>0</v>
      </c>
      <c r="B4" s="2" t="s">
        <v>2</v>
      </c>
      <c r="C4" s="2" t="s">
        <v>3</v>
      </c>
      <c r="D4" s="2" t="s">
        <v>4</v>
      </c>
      <c r="E4" s="2" t="s">
        <v>5</v>
      </c>
    </row>
    <row r="5">
      <c r="A5" s="3" t="s">
        <v>19</v>
      </c>
      <c r="B5" s="4">
        <f> 'RAW DATA'!C2</f>
        <v>125555</v>
      </c>
      <c r="C5" s="4">
        <f> 'RAW DATA'!D2</f>
        <v>108518</v>
      </c>
      <c r="D5" s="4">
        <f> 'RAW DATA'!E2</f>
        <v>113080</v>
      </c>
      <c r="E5" s="4">
        <f> 'RAW DATA'!F2</f>
        <v>110812</v>
      </c>
    </row>
    <row r="6">
      <c r="A6" s="3" t="s">
        <v>20</v>
      </c>
      <c r="B6" s="4">
        <f> 'RAW DATA'!C3</f>
        <v>5003</v>
      </c>
      <c r="C6" s="4">
        <f> 'RAW DATA'!D3</f>
        <v>5661</v>
      </c>
      <c r="D6" s="4">
        <f> 'RAW DATA'!E3</f>
        <v>6507</v>
      </c>
      <c r="E6" s="4">
        <f> 'RAW DATA'!F3</f>
        <v>7103</v>
      </c>
    </row>
    <row r="7">
      <c r="A7" s="31" t="s">
        <v>21</v>
      </c>
      <c r="B7" s="32">
        <f t="shared" ref="B7:E7" si="1">SUM(B5:B6)</f>
        <v>130558</v>
      </c>
      <c r="C7" s="32">
        <f t="shared" si="1"/>
        <v>114179</v>
      </c>
      <c r="D7" s="32">
        <f t="shared" si="1"/>
        <v>119587</v>
      </c>
      <c r="E7" s="32">
        <f t="shared" si="1"/>
        <v>117915</v>
      </c>
    </row>
    <row r="8">
      <c r="A8" s="3" t="s">
        <v>22</v>
      </c>
      <c r="B8" s="4">
        <v>0.0</v>
      </c>
      <c r="C8" s="4">
        <v>0.0</v>
      </c>
      <c r="D8" s="4">
        <v>0.0</v>
      </c>
      <c r="E8" s="4">
        <v>0.0</v>
      </c>
    </row>
    <row r="9">
      <c r="A9" s="33" t="s">
        <v>23</v>
      </c>
      <c r="B9" s="34">
        <f t="shared" ref="B9:E9" si="2">B7+B8</f>
        <v>130558</v>
      </c>
      <c r="C9" s="34">
        <f t="shared" si="2"/>
        <v>114179</v>
      </c>
      <c r="D9" s="34">
        <f t="shared" si="2"/>
        <v>119587</v>
      </c>
      <c r="E9" s="34">
        <f t="shared" si="2"/>
        <v>117915</v>
      </c>
    </row>
    <row r="10">
      <c r="B10" s="4"/>
      <c r="C10" s="4"/>
      <c r="D10" s="4"/>
      <c r="E10" s="4"/>
    </row>
    <row r="11">
      <c r="A11" s="3" t="s">
        <v>24</v>
      </c>
      <c r="B11" s="4">
        <f>'RAW DATA'!C4</f>
        <v>46271</v>
      </c>
      <c r="C11" s="4">
        <f>'RAW DATA'!D4</f>
        <v>46115</v>
      </c>
      <c r="D11" s="4">
        <f>'RAW DATA'!E4</f>
        <v>48904</v>
      </c>
      <c r="E11" s="4">
        <f>'RAW DATA'!F4</f>
        <v>47882</v>
      </c>
    </row>
    <row r="12">
      <c r="A12" s="3" t="s">
        <v>25</v>
      </c>
      <c r="B12" s="4">
        <f>'RAW DATA'!C5</f>
        <v>3156</v>
      </c>
      <c r="C12" s="4">
        <f>'RAW DATA'!D5</f>
        <v>3629</v>
      </c>
      <c r="D12" s="4">
        <f>'RAW DATA'!E5</f>
        <v>4215</v>
      </c>
      <c r="E12" s="4">
        <f>'RAW DATA'!F5</f>
        <v>4631</v>
      </c>
    </row>
    <row r="13">
      <c r="A13" s="31" t="s">
        <v>26</v>
      </c>
      <c r="B13" s="32">
        <f t="shared" ref="B13:E13" si="3">B11+B12</f>
        <v>49427</v>
      </c>
      <c r="C13" s="32">
        <f t="shared" si="3"/>
        <v>49744</v>
      </c>
      <c r="D13" s="32">
        <f t="shared" si="3"/>
        <v>53119</v>
      </c>
      <c r="E13" s="32">
        <f t="shared" si="3"/>
        <v>52513</v>
      </c>
    </row>
    <row r="14">
      <c r="B14" s="4"/>
      <c r="C14" s="4"/>
      <c r="D14" s="4"/>
      <c r="E14" s="4"/>
    </row>
    <row r="15">
      <c r="A15" s="3" t="s">
        <v>27</v>
      </c>
      <c r="B15" s="4">
        <f>'RAW DATA'!C6</f>
        <v>6873</v>
      </c>
      <c r="C15" s="4">
        <f>'RAW DATA'!D6</f>
        <v>8865</v>
      </c>
      <c r="D15" s="4">
        <f>'RAW DATA'!E6</f>
        <v>7702</v>
      </c>
      <c r="E15" s="4">
        <f>'RAW DATA'!F6</f>
        <v>4852</v>
      </c>
    </row>
    <row r="16">
      <c r="A16" s="3" t="s">
        <v>28</v>
      </c>
      <c r="B16" s="35">
        <f>'RAW DATA'!C7</f>
        <v>1508</v>
      </c>
      <c r="C16" s="35">
        <f>'RAW DATA'!D7</f>
        <v>1956</v>
      </c>
      <c r="D16" s="35">
        <f>'RAW DATA'!E7</f>
        <v>2444</v>
      </c>
      <c r="E16" s="35">
        <f>'RAW DATA'!F7</f>
        <v>2671</v>
      </c>
    </row>
    <row r="17">
      <c r="A17" s="31" t="s">
        <v>29</v>
      </c>
      <c r="B17" s="36">
        <f t="shared" ref="B17:E17" si="4">B15+B16</f>
        <v>8381</v>
      </c>
      <c r="C17" s="36">
        <f t="shared" si="4"/>
        <v>10821</v>
      </c>
      <c r="D17" s="36">
        <f t="shared" si="4"/>
        <v>10146</v>
      </c>
      <c r="E17" s="36">
        <f t="shared" si="4"/>
        <v>7523</v>
      </c>
    </row>
    <row r="19">
      <c r="A19" s="3" t="s">
        <v>30</v>
      </c>
      <c r="B19" s="37">
        <f>'RAW DATA'!C8</f>
        <v>7222</v>
      </c>
      <c r="C19" s="37">
        <f>'RAW DATA'!D8</f>
        <v>8107</v>
      </c>
      <c r="D19" s="37">
        <f>'RAW DATA'!E8</f>
        <v>7778</v>
      </c>
      <c r="E19" s="37">
        <f>'RAW DATA'!F8</f>
        <v>3156</v>
      </c>
    </row>
    <row r="20">
      <c r="A20" s="3" t="s">
        <v>31</v>
      </c>
      <c r="B20" s="35">
        <f>'RAW DATA'!C9</f>
        <v>1457</v>
      </c>
      <c r="C20" s="35">
        <f>'RAW DATA'!D9</f>
        <v>1912</v>
      </c>
      <c r="D20" s="35">
        <f>'RAW DATA'!E9</f>
        <v>2374</v>
      </c>
      <c r="E20" s="35">
        <f>'RAW DATA'!F9</f>
        <v>2464</v>
      </c>
    </row>
    <row r="21">
      <c r="A21" s="31" t="s">
        <v>32</v>
      </c>
      <c r="B21" s="36">
        <f t="shared" ref="B21:E21" si="5">B19+B20</f>
        <v>8679</v>
      </c>
      <c r="C21" s="36">
        <f t="shared" si="5"/>
        <v>10019</v>
      </c>
      <c r="D21" s="36">
        <f t="shared" si="5"/>
        <v>10152</v>
      </c>
      <c r="E21" s="36">
        <f t="shared" si="5"/>
        <v>5620</v>
      </c>
    </row>
    <row r="23">
      <c r="A23" s="3" t="s">
        <v>33</v>
      </c>
      <c r="B23" s="35">
        <f>'RAW DATA'!C10</f>
        <v>30431</v>
      </c>
      <c r="C23" s="35">
        <f>'RAW DATA'!D10</f>
        <v>4213</v>
      </c>
      <c r="D23" s="35">
        <f>'RAW DATA'!E10</f>
        <v>12715</v>
      </c>
      <c r="E23" s="35">
        <f>'RAW DATA'!F10</f>
        <v>7313</v>
      </c>
    </row>
    <row r="24">
      <c r="A24" s="3" t="s">
        <v>34</v>
      </c>
      <c r="B24" s="35">
        <f>'RAW DATA'!C11</f>
        <v>2067</v>
      </c>
      <c r="C24" s="35">
        <f>'RAW DATA'!D11</f>
        <v>1874</v>
      </c>
      <c r="D24" s="35">
        <f>'RAW DATA'!E11</f>
        <v>2682</v>
      </c>
      <c r="E24" s="35">
        <f>'RAW DATA'!F11</f>
        <v>1519</v>
      </c>
    </row>
    <row r="25">
      <c r="A25" s="31" t="s">
        <v>35</v>
      </c>
      <c r="B25" s="36">
        <f t="shared" ref="B25:E25" si="6">B23+B24</f>
        <v>32498</v>
      </c>
      <c r="C25" s="36">
        <f t="shared" si="6"/>
        <v>6087</v>
      </c>
      <c r="D25" s="36">
        <f t="shared" si="6"/>
        <v>15397</v>
      </c>
      <c r="E25" s="36">
        <f t="shared" si="6"/>
        <v>8832</v>
      </c>
    </row>
    <row r="27">
      <c r="A27" s="3" t="s">
        <v>36</v>
      </c>
      <c r="B27" s="35">
        <f>'RAW DATA'!C12</f>
        <v>-14823</v>
      </c>
      <c r="C27" s="35">
        <f>'RAW DATA'!D12</f>
        <v>-12082</v>
      </c>
      <c r="D27" s="35">
        <f>'RAW DATA'!E12</f>
        <v>-14288</v>
      </c>
      <c r="E27" s="35">
        <f>'RAW DATA'!F12</f>
        <v>-15748</v>
      </c>
    </row>
    <row r="28">
      <c r="A28" s="3" t="s">
        <v>37</v>
      </c>
      <c r="B28" s="38">
        <f>'RAW DATA'!C13</f>
        <v>-283</v>
      </c>
      <c r="C28" s="38">
        <f>'RAW DATA'!D13</f>
        <v>-298</v>
      </c>
      <c r="D28" s="38">
        <f>'RAW DATA'!E13</f>
        <v>-183</v>
      </c>
      <c r="E28" s="38">
        <f>'RAW DATA'!F13</f>
        <v>-222</v>
      </c>
    </row>
    <row r="29">
      <c r="A29" s="31" t="s">
        <v>38</v>
      </c>
      <c r="B29" s="36">
        <f t="shared" ref="B29:E29" si="7">B27+B28</f>
        <v>-15106</v>
      </c>
      <c r="C29" s="36">
        <f t="shared" si="7"/>
        <v>-12380</v>
      </c>
      <c r="D29" s="36">
        <f t="shared" si="7"/>
        <v>-14471</v>
      </c>
      <c r="E29" s="36">
        <f t="shared" si="7"/>
        <v>-15970</v>
      </c>
    </row>
    <row r="31">
      <c r="A31" s="31" t="s">
        <v>39</v>
      </c>
      <c r="B31" s="39">
        <f t="shared" ref="B31:E31" si="8">B25+B29</f>
        <v>17392</v>
      </c>
      <c r="C31" s="39">
        <f t="shared" si="8"/>
        <v>-6293</v>
      </c>
      <c r="D31" s="39">
        <f t="shared" si="8"/>
        <v>926</v>
      </c>
      <c r="E31" s="39">
        <f t="shared" si="8"/>
        <v>-7138</v>
      </c>
    </row>
    <row r="33">
      <c r="A33" s="3" t="s">
        <v>40</v>
      </c>
      <c r="B33" s="35">
        <f>'RAW DATA'!C14</f>
        <v>7618</v>
      </c>
      <c r="C33" s="35">
        <f>'RAW DATA'!D14</f>
        <v>7508</v>
      </c>
      <c r="D33" s="35">
        <f>'RAW DATA'!E14</f>
        <v>8038</v>
      </c>
      <c r="E33" s="35">
        <f>'RAW DATA'!F14</f>
        <v>8948</v>
      </c>
    </row>
    <row r="34">
      <c r="A34" s="3" t="s">
        <v>41</v>
      </c>
      <c r="B34" s="38">
        <f>'RAW DATA'!C15</f>
        <v>288</v>
      </c>
      <c r="C34" s="38">
        <f>'RAW DATA'!D15</f>
        <v>281</v>
      </c>
      <c r="D34" s="38">
        <f>'RAW DATA'!E15</f>
        <v>286</v>
      </c>
      <c r="E34" s="38">
        <f>'RAW DATA'!F15</f>
        <v>298</v>
      </c>
    </row>
    <row r="35">
      <c r="A35" s="31" t="s">
        <v>42</v>
      </c>
      <c r="B35" s="36">
        <f t="shared" ref="B35:E35" si="9">B33+B34</f>
        <v>7906</v>
      </c>
      <c r="C35" s="36">
        <f t="shared" si="9"/>
        <v>7789</v>
      </c>
      <c r="D35" s="36">
        <f t="shared" si="9"/>
        <v>8324</v>
      </c>
      <c r="E35" s="36">
        <f t="shared" si="9"/>
        <v>9246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3" max="3" width="170.38"/>
  </cols>
  <sheetData>
    <row r="1">
      <c r="A1" s="30" t="s">
        <v>43</v>
      </c>
      <c r="B1" s="40"/>
    </row>
    <row r="2">
      <c r="A2" s="30" t="s">
        <v>44</v>
      </c>
      <c r="B2" s="40"/>
    </row>
    <row r="3">
      <c r="B3" s="40"/>
    </row>
    <row r="4">
      <c r="B4" s="40"/>
    </row>
    <row r="5">
      <c r="A5" s="30" t="s">
        <v>45</v>
      </c>
      <c r="B5" s="41" t="s">
        <v>46</v>
      </c>
      <c r="C5" s="30" t="s">
        <v>47</v>
      </c>
    </row>
    <row r="6">
      <c r="B6" s="40"/>
    </row>
    <row r="7">
      <c r="A7" s="30" t="s">
        <v>48</v>
      </c>
      <c r="B7" s="42">
        <v>0.12</v>
      </c>
      <c r="C7" s="3" t="s">
        <v>49</v>
      </c>
    </row>
    <row r="8">
      <c r="A8" s="30" t="s">
        <v>50</v>
      </c>
      <c r="B8" s="42">
        <v>0.14</v>
      </c>
      <c r="C8" s="3" t="s">
        <v>51</v>
      </c>
    </row>
    <row r="9">
      <c r="A9" s="30" t="s">
        <v>52</v>
      </c>
      <c r="B9" s="42">
        <v>0.13</v>
      </c>
      <c r="C9" s="3" t="s">
        <v>53</v>
      </c>
    </row>
    <row r="10">
      <c r="A10" s="30" t="s">
        <v>54</v>
      </c>
      <c r="B10" s="42">
        <v>0.1</v>
      </c>
      <c r="C10" s="3" t="s">
        <v>55</v>
      </c>
    </row>
    <row r="11">
      <c r="A11" s="30" t="s">
        <v>56</v>
      </c>
      <c r="B11" s="42">
        <v>0.08</v>
      </c>
      <c r="C11" s="3" t="s">
        <v>57</v>
      </c>
    </row>
    <row r="12">
      <c r="A12" s="43"/>
      <c r="B12" s="40"/>
    </row>
    <row r="13">
      <c r="A13" s="30" t="s">
        <v>58</v>
      </c>
      <c r="B13" s="42">
        <v>0.085</v>
      </c>
      <c r="C13" s="3" t="s">
        <v>59</v>
      </c>
    </row>
    <row r="14">
      <c r="A14" s="30" t="s">
        <v>60</v>
      </c>
      <c r="B14" s="42">
        <v>0.09</v>
      </c>
      <c r="C14" s="3" t="s">
        <v>61</v>
      </c>
    </row>
    <row r="15">
      <c r="A15" s="30" t="s">
        <v>62</v>
      </c>
      <c r="B15" s="42">
        <v>0.095</v>
      </c>
      <c r="C15" s="3" t="s">
        <v>63</v>
      </c>
    </row>
    <row r="16">
      <c r="A16" s="30" t="s">
        <v>64</v>
      </c>
      <c r="B16" s="42">
        <v>0.1</v>
      </c>
      <c r="C16" s="3" t="s">
        <v>65</v>
      </c>
    </row>
    <row r="17">
      <c r="A17" s="30" t="s">
        <v>66</v>
      </c>
      <c r="B17" s="42">
        <v>0.105</v>
      </c>
      <c r="C17" s="3" t="s">
        <v>67</v>
      </c>
    </row>
    <row r="18">
      <c r="A18" s="43"/>
      <c r="B18" s="40"/>
    </row>
    <row r="19">
      <c r="A19" s="30" t="s">
        <v>68</v>
      </c>
      <c r="B19" s="42">
        <v>0.095</v>
      </c>
      <c r="C19" s="3" t="s">
        <v>69</v>
      </c>
    </row>
    <row r="20">
      <c r="A20" s="43"/>
      <c r="B20" s="40"/>
    </row>
    <row r="21">
      <c r="A21" s="30" t="s">
        <v>70</v>
      </c>
      <c r="B21" s="42">
        <v>0.03</v>
      </c>
      <c r="C21" s="3" t="s">
        <v>71</v>
      </c>
    </row>
    <row r="22">
      <c r="A22" s="43"/>
      <c r="B22" s="40"/>
    </row>
    <row r="23">
      <c r="A23" s="30" t="s">
        <v>72</v>
      </c>
      <c r="B23" s="42">
        <v>0.12</v>
      </c>
      <c r="C23" s="3" t="s">
        <v>73</v>
      </c>
    </row>
    <row r="24">
      <c r="B24" s="40"/>
    </row>
    <row r="25">
      <c r="A25" s="30" t="s">
        <v>74</v>
      </c>
      <c r="B25" s="3">
        <v>0.0</v>
      </c>
      <c r="C25" s="3" t="s">
        <v>75</v>
      </c>
    </row>
    <row r="26">
      <c r="A26" s="30" t="s">
        <v>76</v>
      </c>
      <c r="B26" s="42">
        <v>0.05</v>
      </c>
      <c r="C26" s="3" t="s">
        <v>77</v>
      </c>
    </row>
    <row r="27">
      <c r="A27" s="30" t="s">
        <v>78</v>
      </c>
      <c r="B27" s="42">
        <v>0.08</v>
      </c>
      <c r="C27" s="3" t="s">
        <v>79</v>
      </c>
    </row>
    <row r="28">
      <c r="B28" s="40"/>
    </row>
    <row r="29">
      <c r="A29" s="30" t="s">
        <v>80</v>
      </c>
      <c r="B29" s="44">
        <v>32000.0</v>
      </c>
      <c r="C29" s="3" t="s">
        <v>81</v>
      </c>
    </row>
    <row r="30">
      <c r="B30" s="40"/>
    </row>
    <row r="31">
      <c r="B31" s="40"/>
    </row>
    <row r="32">
      <c r="B32" s="40"/>
    </row>
    <row r="33">
      <c r="B33" s="40"/>
    </row>
    <row r="34">
      <c r="B34" s="40"/>
    </row>
    <row r="35">
      <c r="B35" s="40"/>
    </row>
    <row r="36">
      <c r="B36" s="40"/>
    </row>
    <row r="37">
      <c r="B37" s="40"/>
    </row>
    <row r="38">
      <c r="B38" s="40"/>
    </row>
    <row r="39">
      <c r="B39" s="40"/>
    </row>
    <row r="40">
      <c r="B40" s="40"/>
    </row>
    <row r="41">
      <c r="B41" s="40"/>
    </row>
    <row r="42">
      <c r="B42" s="40"/>
    </row>
    <row r="43">
      <c r="B43" s="40"/>
    </row>
    <row r="44">
      <c r="B44" s="40"/>
    </row>
    <row r="45">
      <c r="B45" s="40"/>
    </row>
    <row r="46">
      <c r="B46" s="40"/>
    </row>
    <row r="47">
      <c r="B47" s="40"/>
    </row>
    <row r="48">
      <c r="B48" s="40"/>
    </row>
    <row r="49">
      <c r="B49" s="40"/>
    </row>
    <row r="50">
      <c r="B50" s="40"/>
    </row>
    <row r="51">
      <c r="B51" s="40"/>
    </row>
    <row r="52">
      <c r="B52" s="40"/>
    </row>
    <row r="53">
      <c r="B53" s="40"/>
    </row>
    <row r="54">
      <c r="B54" s="40"/>
    </row>
    <row r="55">
      <c r="B55" s="40"/>
    </row>
    <row r="56">
      <c r="B56" s="40"/>
    </row>
    <row r="57">
      <c r="B57" s="40"/>
    </row>
    <row r="58">
      <c r="B58" s="40"/>
    </row>
    <row r="59">
      <c r="B59" s="40"/>
    </row>
    <row r="60">
      <c r="B60" s="40"/>
    </row>
    <row r="61">
      <c r="B61" s="40"/>
    </row>
    <row r="62">
      <c r="B62" s="40"/>
    </row>
    <row r="63">
      <c r="B63" s="40"/>
    </row>
    <row r="64">
      <c r="B64" s="40"/>
    </row>
    <row r="65">
      <c r="B65" s="40"/>
    </row>
    <row r="66">
      <c r="B66" s="40"/>
    </row>
    <row r="67">
      <c r="B67" s="40"/>
    </row>
    <row r="68">
      <c r="B68" s="40"/>
    </row>
    <row r="69">
      <c r="B69" s="40"/>
    </row>
    <row r="70">
      <c r="B70" s="40"/>
    </row>
    <row r="71">
      <c r="B71" s="40"/>
    </row>
    <row r="72">
      <c r="B72" s="40"/>
    </row>
    <row r="73">
      <c r="B73" s="40"/>
    </row>
    <row r="74">
      <c r="B74" s="40"/>
    </row>
    <row r="75">
      <c r="B75" s="40"/>
    </row>
    <row r="76">
      <c r="B76" s="40"/>
    </row>
    <row r="77">
      <c r="B77" s="40"/>
    </row>
    <row r="78">
      <c r="B78" s="40"/>
    </row>
    <row r="79">
      <c r="B79" s="40"/>
    </row>
    <row r="80">
      <c r="B80" s="40"/>
    </row>
    <row r="81">
      <c r="B81" s="40"/>
    </row>
    <row r="82">
      <c r="B82" s="40"/>
    </row>
    <row r="83">
      <c r="B83" s="40"/>
    </row>
    <row r="84">
      <c r="B84" s="40"/>
    </row>
    <row r="85">
      <c r="B85" s="40"/>
    </row>
    <row r="86">
      <c r="B86" s="40"/>
    </row>
    <row r="87">
      <c r="B87" s="40"/>
    </row>
    <row r="88">
      <c r="B88" s="40"/>
    </row>
    <row r="89">
      <c r="B89" s="40"/>
    </row>
    <row r="90">
      <c r="B90" s="40"/>
    </row>
    <row r="91">
      <c r="B91" s="40"/>
    </row>
    <row r="92">
      <c r="B92" s="40"/>
    </row>
    <row r="93">
      <c r="B93" s="40"/>
    </row>
    <row r="94">
      <c r="B94" s="40"/>
    </row>
    <row r="95">
      <c r="B95" s="40"/>
    </row>
    <row r="96">
      <c r="B96" s="40"/>
    </row>
    <row r="97">
      <c r="B97" s="40"/>
    </row>
    <row r="98">
      <c r="B98" s="40"/>
    </row>
    <row r="99">
      <c r="B99" s="40"/>
    </row>
    <row r="100">
      <c r="B100" s="40"/>
    </row>
    <row r="101">
      <c r="B101" s="40"/>
    </row>
    <row r="102">
      <c r="B102" s="40"/>
    </row>
    <row r="103">
      <c r="B103" s="40"/>
    </row>
    <row r="104">
      <c r="B104" s="40"/>
    </row>
    <row r="105">
      <c r="B105" s="40"/>
    </row>
    <row r="106">
      <c r="B106" s="40"/>
    </row>
    <row r="107">
      <c r="B107" s="40"/>
    </row>
    <row r="108">
      <c r="B108" s="40"/>
    </row>
    <row r="109">
      <c r="B109" s="40"/>
    </row>
    <row r="110">
      <c r="B110" s="40"/>
    </row>
    <row r="111">
      <c r="B111" s="40"/>
    </row>
    <row r="112">
      <c r="B112" s="40"/>
    </row>
    <row r="113">
      <c r="B113" s="40"/>
    </row>
    <row r="114">
      <c r="B114" s="40"/>
    </row>
    <row r="115">
      <c r="B115" s="40"/>
    </row>
    <row r="116">
      <c r="B116" s="40"/>
    </row>
    <row r="117">
      <c r="B117" s="40"/>
    </row>
    <row r="118">
      <c r="B118" s="40"/>
    </row>
    <row r="119">
      <c r="B119" s="40"/>
    </row>
    <row r="120">
      <c r="B120" s="40"/>
    </row>
    <row r="121">
      <c r="B121" s="40"/>
    </row>
    <row r="122">
      <c r="B122" s="40"/>
    </row>
    <row r="123">
      <c r="B123" s="40"/>
    </row>
    <row r="124">
      <c r="B124" s="40"/>
    </row>
    <row r="125">
      <c r="B125" s="40"/>
    </row>
    <row r="126">
      <c r="B126" s="40"/>
    </row>
    <row r="127">
      <c r="B127" s="40"/>
    </row>
    <row r="128">
      <c r="B128" s="40"/>
    </row>
    <row r="129">
      <c r="B129" s="40"/>
    </row>
    <row r="130">
      <c r="B130" s="40"/>
    </row>
    <row r="131">
      <c r="B131" s="40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30" t="s">
        <v>82</v>
      </c>
    </row>
    <row r="2">
      <c r="A2" s="30" t="s">
        <v>16</v>
      </c>
    </row>
    <row r="4">
      <c r="A4" s="30" t="s">
        <v>0</v>
      </c>
      <c r="B4" s="30" t="s">
        <v>83</v>
      </c>
      <c r="C4" s="30" t="s">
        <v>84</v>
      </c>
      <c r="D4" s="30" t="s">
        <v>85</v>
      </c>
      <c r="E4" s="30" t="s">
        <v>86</v>
      </c>
      <c r="F4" s="30" t="s">
        <v>87</v>
      </c>
    </row>
    <row r="5">
      <c r="A5" s="43"/>
      <c r="B5" s="30" t="s">
        <v>88</v>
      </c>
      <c r="C5" s="30" t="s">
        <v>89</v>
      </c>
      <c r="D5" s="30" t="s">
        <v>90</v>
      </c>
      <c r="E5" s="30" t="s">
        <v>91</v>
      </c>
      <c r="F5" s="30" t="s">
        <v>92</v>
      </c>
    </row>
    <row r="6">
      <c r="A6" s="3" t="s">
        <v>93</v>
      </c>
      <c r="B6" s="35">
        <f>'Pro forma analysis (Combined en'!E7</f>
        <v>117915</v>
      </c>
    </row>
    <row r="7">
      <c r="A7" s="3" t="s">
        <v>94</v>
      </c>
      <c r="B7" s="45">
        <f>B6*(1+ASSUMPTIONS!B7)*(1+ASSUMPTIONS!B25)</f>
        <v>132064.8</v>
      </c>
      <c r="C7" s="45">
        <f>B7*(1+ASSUMPTIONS!B8)*(1+ASSUMPTIONS!B26)</f>
        <v>158081.5656</v>
      </c>
      <c r="D7" s="45">
        <f>C7*(1+ASSUMPTIONS!B9)*(1+ASSUMPTIONS!B27)</f>
        <v>192922.7427</v>
      </c>
      <c r="E7" s="45">
        <f>D7*(1+ASSUMPTIONS!B10)*(1+ASSUMPTIONS!B27)</f>
        <v>229192.2183</v>
      </c>
      <c r="F7" s="45">
        <f>E7*(1+ASSUMPTIONS!B11)*(1+ASSUMPTIONS!B27)</f>
        <v>267329.8034</v>
      </c>
    </row>
    <row r="8">
      <c r="A8" s="30" t="s">
        <v>95</v>
      </c>
      <c r="B8" s="45">
        <f>B7*ASSUMPTIONS!B13</f>
        <v>11225.508</v>
      </c>
      <c r="C8" s="45">
        <f>C7*ASSUMPTIONS!B14</f>
        <v>14227.3409</v>
      </c>
      <c r="D8" s="45">
        <f>D7*ASSUMPTIONS!B15</f>
        <v>18327.66055</v>
      </c>
      <c r="E8" s="45">
        <f>E7*ASSUMPTIONS!B16</f>
        <v>22919.22183</v>
      </c>
      <c r="F8" s="45">
        <f>F7*ASSUMPTIONS!B17</f>
        <v>28069.62936</v>
      </c>
    </row>
    <row r="9">
      <c r="A9" s="30" t="s">
        <v>96</v>
      </c>
      <c r="B9" s="45">
        <f>1/(1+ASSUMPTIONS!B19)^1</f>
        <v>0.9132420091</v>
      </c>
      <c r="C9" s="45">
        <f>1/(1+ASSUMPTIONS!B19)^2</f>
        <v>0.8340109672</v>
      </c>
      <c r="D9" s="45">
        <f>1/(1+ASSUMPTIONS!B19)^3</f>
        <v>0.7616538514</v>
      </c>
      <c r="E9" s="45">
        <f>1/(1+ASSUMPTIONS!B19)^4</f>
        <v>0.6955742935</v>
      </c>
      <c r="F9" s="45">
        <f>1/(1+ASSUMPTIONS!B19)^5</f>
        <v>0.6352276653</v>
      </c>
    </row>
    <row r="10">
      <c r="A10" s="30" t="s">
        <v>97</v>
      </c>
      <c r="B10" s="45">
        <f t="shared" ref="B10:F10" si="1">B8*B9</f>
        <v>10251.60548</v>
      </c>
      <c r="C10" s="45">
        <f t="shared" si="1"/>
        <v>11865.75835</v>
      </c>
      <c r="D10" s="45">
        <f t="shared" si="1"/>
        <v>13959.33325</v>
      </c>
      <c r="E10" s="45">
        <f t="shared" si="1"/>
        <v>15942.02153</v>
      </c>
      <c r="F10" s="45">
        <f t="shared" si="1"/>
        <v>17830.60512</v>
      </c>
    </row>
    <row r="11">
      <c r="A11" s="30" t="s">
        <v>98</v>
      </c>
      <c r="B11" s="45">
        <f>SUM(B10:F10)</f>
        <v>69849.32373</v>
      </c>
      <c r="C11" s="45"/>
      <c r="D11" s="45"/>
      <c r="E11" s="45"/>
      <c r="F11" s="45"/>
    </row>
    <row r="12">
      <c r="A12" s="30" t="s">
        <v>99</v>
      </c>
      <c r="B12" s="45">
        <f>F8*(1+ASSUMPTIONS!B21)/(ASSUMPTIONS!B19-ASSUMPTIONS!B21)</f>
        <v>444795.6652</v>
      </c>
      <c r="C12" s="45"/>
      <c r="D12" s="45"/>
      <c r="E12" s="45"/>
      <c r="F12" s="45"/>
    </row>
    <row r="13">
      <c r="A13" s="30" t="s">
        <v>100</v>
      </c>
      <c r="B13" s="45">
        <f>B12*F9</f>
        <v>282546.5119</v>
      </c>
      <c r="C13" s="45"/>
      <c r="D13" s="45"/>
      <c r="E13" s="45"/>
      <c r="F13" s="45"/>
    </row>
    <row r="14">
      <c r="A14" s="46" t="s">
        <v>101</v>
      </c>
      <c r="B14" s="45">
        <f>B11+B13</f>
        <v>352395.8357</v>
      </c>
      <c r="C14" s="45"/>
      <c r="D14" s="45"/>
      <c r="E14" s="45"/>
      <c r="F14" s="45"/>
    </row>
    <row r="15">
      <c r="A15" s="3" t="s">
        <v>102</v>
      </c>
      <c r="B15" s="45">
        <f>ASSUMPTIONS!B29</f>
        <v>32000</v>
      </c>
      <c r="C15" s="45"/>
      <c r="D15" s="45"/>
      <c r="E15" s="45"/>
      <c r="F15" s="45"/>
    </row>
    <row r="16">
      <c r="A16" s="47" t="s">
        <v>103</v>
      </c>
      <c r="B16" s="48">
        <f>B14-B15</f>
        <v>320395.8357</v>
      </c>
      <c r="C16" s="45"/>
      <c r="D16" s="45"/>
      <c r="E16" s="45"/>
      <c r="F16" s="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92.13"/>
  </cols>
  <sheetData>
    <row r="1">
      <c r="A1" s="49" t="s">
        <v>104</v>
      </c>
      <c r="B1" s="50"/>
    </row>
    <row r="2">
      <c r="A2" s="51" t="s">
        <v>105</v>
      </c>
      <c r="B2" s="50"/>
    </row>
    <row r="3">
      <c r="A3" s="51" t="s">
        <v>16</v>
      </c>
      <c r="B3" s="50"/>
    </row>
    <row r="4">
      <c r="A4" s="50"/>
      <c r="B4" s="50"/>
    </row>
    <row r="5">
      <c r="A5" s="52" t="s">
        <v>106</v>
      </c>
      <c r="B5" s="50"/>
    </row>
    <row r="6">
      <c r="A6" s="51" t="s">
        <v>107</v>
      </c>
      <c r="B6" s="51" t="s">
        <v>108</v>
      </c>
    </row>
    <row r="7">
      <c r="A7" s="51" t="s">
        <v>109</v>
      </c>
      <c r="B7" s="51" t="s">
        <v>5</v>
      </c>
    </row>
    <row r="8">
      <c r="A8" s="51" t="s">
        <v>110</v>
      </c>
      <c r="B8" s="51" t="s">
        <v>111</v>
      </c>
    </row>
    <row r="9">
      <c r="A9" s="50"/>
      <c r="B9" s="50"/>
    </row>
    <row r="10">
      <c r="A10" s="52" t="s">
        <v>112</v>
      </c>
      <c r="B10" s="50"/>
    </row>
    <row r="11">
      <c r="A11" s="51" t="s">
        <v>113</v>
      </c>
      <c r="B11" s="53">
        <f>ASSUMPTIONS!B19</f>
        <v>0.095</v>
      </c>
    </row>
    <row r="12">
      <c r="A12" s="51" t="s">
        <v>114</v>
      </c>
      <c r="B12" s="53">
        <f>ASSUMPTIONS!B21</f>
        <v>0.03</v>
      </c>
    </row>
    <row r="13">
      <c r="A13" s="51" t="s">
        <v>115</v>
      </c>
      <c r="B13" s="53">
        <f>ASSUMPTIONS!B23</f>
        <v>0.12</v>
      </c>
    </row>
    <row r="14">
      <c r="A14" s="51" t="s">
        <v>116</v>
      </c>
      <c r="B14" s="53">
        <f>ASSUMPTIONS!B7</f>
        <v>0.12</v>
      </c>
    </row>
    <row r="15">
      <c r="A15" s="51" t="s">
        <v>117</v>
      </c>
      <c r="B15" s="53">
        <f>ASSUMPTIONS!B11</f>
        <v>0.08</v>
      </c>
    </row>
    <row r="16">
      <c r="A16" s="51" t="s">
        <v>118</v>
      </c>
      <c r="B16" s="53">
        <f>ASSUMPTIONS!B27</f>
        <v>0.08</v>
      </c>
    </row>
    <row r="17">
      <c r="A17" s="50"/>
      <c r="B17" s="50"/>
    </row>
    <row r="18">
      <c r="A18" s="52" t="s">
        <v>119</v>
      </c>
      <c r="B18" s="54"/>
    </row>
    <row r="19">
      <c r="A19" s="51" t="s">
        <v>93</v>
      </c>
      <c r="B19" s="55">
        <f>FCF_PROJECTION!B6</f>
        <v>117915</v>
      </c>
    </row>
    <row r="20">
      <c r="A20" s="51" t="s">
        <v>120</v>
      </c>
      <c r="B20" s="55">
        <f>FCF_PROJECTION!F7</f>
        <v>267329.8034</v>
      </c>
    </row>
    <row r="21">
      <c r="A21" s="51" t="s">
        <v>121</v>
      </c>
      <c r="B21" s="55">
        <f>FCF_PROJECTION!B8</f>
        <v>11225.508</v>
      </c>
    </row>
    <row r="22">
      <c r="A22" s="51" t="s">
        <v>122</v>
      </c>
      <c r="B22" s="55">
        <f>FCF_PROJECTION!F8</f>
        <v>28069.62936</v>
      </c>
    </row>
    <row r="23">
      <c r="A23" s="51" t="s">
        <v>123</v>
      </c>
      <c r="B23" s="55">
        <f>FCF_PROJECTION!B11</f>
        <v>69849.32373</v>
      </c>
    </row>
    <row r="24">
      <c r="A24" s="51" t="s">
        <v>100</v>
      </c>
      <c r="B24" s="55">
        <f>FCF_PROJECTION!B13</f>
        <v>282546.5119</v>
      </c>
    </row>
    <row r="25">
      <c r="A25" s="56" t="s">
        <v>101</v>
      </c>
      <c r="B25" s="57">
        <f>FCF_PROJECTION!B14</f>
        <v>352395.8357</v>
      </c>
    </row>
    <row r="26">
      <c r="A26" s="58" t="s">
        <v>102</v>
      </c>
      <c r="B26" s="59">
        <f>FCF_PROJECTION!B15</f>
        <v>32000</v>
      </c>
    </row>
    <row r="27">
      <c r="A27" s="60" t="s">
        <v>103</v>
      </c>
      <c r="B27" s="61">
        <f>FCF_PROJECTION!B16</f>
        <v>320395.8357</v>
      </c>
    </row>
    <row r="28">
      <c r="A28" s="50"/>
      <c r="B28" s="50"/>
    </row>
    <row r="29">
      <c r="A29" s="62" t="s">
        <v>124</v>
      </c>
      <c r="B29" s="50"/>
    </row>
    <row r="30">
      <c r="A30" s="51" t="s">
        <v>125</v>
      </c>
      <c r="B30" s="51" t="s">
        <v>126</v>
      </c>
    </row>
    <row r="31">
      <c r="A31" s="51" t="s">
        <v>127</v>
      </c>
      <c r="B31" s="51" t="s">
        <v>128</v>
      </c>
    </row>
    <row r="32">
      <c r="A32" s="51" t="s">
        <v>129</v>
      </c>
      <c r="B32" s="51" t="s">
        <v>130</v>
      </c>
    </row>
    <row r="33">
      <c r="A33" s="51" t="s">
        <v>131</v>
      </c>
      <c r="B33" s="51" t="s">
        <v>132</v>
      </c>
    </row>
    <row r="35">
      <c r="A35" s="63" t="s">
        <v>133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</cols>
  <sheetData>
    <row r="1">
      <c r="A1" s="3" t="s">
        <v>134</v>
      </c>
    </row>
    <row r="2">
      <c r="A2" s="3" t="s">
        <v>135</v>
      </c>
    </row>
    <row r="3">
      <c r="A3" s="3" t="s">
        <v>16</v>
      </c>
    </row>
    <row r="5">
      <c r="A5" s="64" t="s">
        <v>136</v>
      </c>
    </row>
    <row r="6">
      <c r="A6" s="3" t="s">
        <v>137</v>
      </c>
      <c r="J6" s="40">
        <f>$A8</f>
        <v>0.075</v>
      </c>
    </row>
    <row r="7">
      <c r="A7" s="3" t="s">
        <v>138</v>
      </c>
      <c r="B7" s="40">
        <v>0.015</v>
      </c>
      <c r="C7" s="42">
        <v>0.02</v>
      </c>
      <c r="D7" s="42">
        <v>0.025</v>
      </c>
      <c r="E7" s="42">
        <v>0.03</v>
      </c>
      <c r="F7" s="42">
        <v>0.035</v>
      </c>
      <c r="G7" s="42">
        <v>0.04</v>
      </c>
      <c r="H7" s="42">
        <v>0.045</v>
      </c>
      <c r="J7" s="40">
        <f>B$7</f>
        <v>0.015</v>
      </c>
    </row>
    <row r="8">
      <c r="A8" s="42">
        <v>0.075</v>
      </c>
      <c r="B8" s="45">
        <f t="shared" ref="B8:H8" si="1">(INDIRECT("FCF_PROJECTION!B8")/(1+$A8)^1)+(INDIRECT("FCF_PROJECTION!C8")/(1+$A8)^2)+(INDIRECT("FCF_PROJECTION!D8")/(1+$A8)^3)+(INDIRECT("FCF_PROJECTION!E8")/(1+$A8)^4)+(INDIRECT("FCF_PROJECTION!F8")/(1+$A8)^5)+((INDIRECT("FCF_PROJECTION!F8")*(1+B$7)/($A8-B$7))/(1+$A8)^5)</f>
        <v>404977.9068</v>
      </c>
      <c r="C8" s="45">
        <f t="shared" si="1"/>
        <v>436824.1998</v>
      </c>
      <c r="D8" s="45">
        <f t="shared" si="1"/>
        <v>475039.7513</v>
      </c>
      <c r="E8" s="45">
        <f t="shared" si="1"/>
        <v>521747.6476</v>
      </c>
      <c r="F8" s="45">
        <f t="shared" si="1"/>
        <v>580132.5179</v>
      </c>
      <c r="G8" s="45">
        <f t="shared" si="1"/>
        <v>655198.7798</v>
      </c>
      <c r="H8" s="45">
        <f t="shared" si="1"/>
        <v>755287.1291</v>
      </c>
      <c r="J8" s="45">
        <f>FCF_PROJECTION!B8</f>
        <v>11225.508</v>
      </c>
    </row>
    <row r="9">
      <c r="A9" s="42">
        <v>0.08</v>
      </c>
      <c r="B9" s="45">
        <f t="shared" ref="B9:H9" si="2">(INDIRECT("FCF_PROJECTION!B8")/(1+$A9)^1)+(INDIRECT("FCF_PROJECTION!C8")/(1+$A9)^2)+(INDIRECT("FCF_PROJECTION!D8")/(1+$A9)^3)+(INDIRECT("FCF_PROJECTION!E8")/(1+$A9)^4)+(INDIRECT("FCF_PROJECTION!F8")/(1+$A9)^5)+((INDIRECT("FCF_PROJECTION!F8")*(1+B$7)/($A9-B$7))/(1+$A9)^5)</f>
        <v>371402.6643</v>
      </c>
      <c r="C9" s="45">
        <f t="shared" si="2"/>
        <v>397853.9662</v>
      </c>
      <c r="D9" s="45">
        <f t="shared" si="2"/>
        <v>429114.5958</v>
      </c>
      <c r="E9" s="45">
        <f t="shared" si="2"/>
        <v>466627.3513</v>
      </c>
      <c r="F9" s="45">
        <f t="shared" si="2"/>
        <v>512476.2747</v>
      </c>
      <c r="G9" s="45">
        <f t="shared" si="2"/>
        <v>569787.429</v>
      </c>
      <c r="H9" s="45">
        <f t="shared" si="2"/>
        <v>643473.1988</v>
      </c>
      <c r="J9" s="38">
        <f>(FCF_PROJECTION!F8*(1+B$7)/($A8-B$7))/(1+$A8)^5</f>
        <v>330757.0796</v>
      </c>
    </row>
    <row r="10">
      <c r="A10" s="42">
        <v>0.085</v>
      </c>
      <c r="B10" s="45">
        <f t="shared" ref="B10:H10" si="3">(INDIRECT("FCF_PROJECTION!B8")/(1+$A10)^1)+(INDIRECT("FCF_PROJECTION!C8")/(1+$A10)^2)+(INDIRECT("FCF_PROJECTION!D8")/(1+$A10)^3)+(INDIRECT("FCF_PROJECTION!E8")/(1+$A10)^4)+(INDIRECT("FCF_PROJECTION!F8")/(1+$A10)^5)+((INDIRECT("FCF_PROJECTION!F8")*(1+B$7)/($A10-B$7))/(1+$A10)^5)</f>
        <v>342665.8426</v>
      </c>
      <c r="C10" s="45">
        <f t="shared" si="3"/>
        <v>364923.34</v>
      </c>
      <c r="D10" s="45">
        <f t="shared" si="3"/>
        <v>390890.4204</v>
      </c>
      <c r="E10" s="45">
        <f t="shared" si="3"/>
        <v>421578.7882</v>
      </c>
      <c r="F10" s="45">
        <f t="shared" si="3"/>
        <v>458404.8295</v>
      </c>
      <c r="G10" s="45">
        <f t="shared" si="3"/>
        <v>503414.4355</v>
      </c>
      <c r="H10" s="45">
        <f t="shared" si="3"/>
        <v>559676.4431</v>
      </c>
      <c r="J10" s="38">
        <f>(FCF_PROJECTION!B8/(1+$A8)^1)+(FCF_PROJECTION!C8/(1+$A8)^2)+(FCF_PROJECTION!D8/(1+$A8)^3)+(FCF_PROJECTION!E8/(1+$A8)^4)+(FCF_PROJECTION!F8/(1+$A8)^5)</f>
        <v>74220.82725</v>
      </c>
    </row>
    <row r="11">
      <c r="A11" s="42">
        <v>0.09</v>
      </c>
      <c r="B11" s="45">
        <f t="shared" ref="B11:H11" si="4">(INDIRECT("FCF_PROJECTION!B8")/(1+$A11)^1)+(INDIRECT("FCF_PROJECTION!C8")/(1+$A11)^2)+(INDIRECT("FCF_PROJECTION!D8")/(1+$A11)^3)+(INDIRECT("FCF_PROJECTION!E8")/(1+$A11)^4)+(INDIRECT("FCF_PROJECTION!F8")/(1+$A11)^5)+((INDIRECT("FCF_PROJECTION!F8")*(1+B$7)/($A11-B$7))/(1+$A11)^5)</f>
        <v>317798.812</v>
      </c>
      <c r="C11" s="45">
        <f t="shared" si="4"/>
        <v>336737.1293</v>
      </c>
      <c r="D11" s="45">
        <f t="shared" si="4"/>
        <v>358589.0338</v>
      </c>
      <c r="E11" s="45">
        <f t="shared" si="4"/>
        <v>384082.9224</v>
      </c>
      <c r="F11" s="45">
        <f t="shared" si="4"/>
        <v>414212.0634</v>
      </c>
      <c r="G11" s="45">
        <f t="shared" si="4"/>
        <v>450367.0327</v>
      </c>
      <c r="H11" s="45">
        <f t="shared" si="4"/>
        <v>494556.4396</v>
      </c>
      <c r="J11" s="38">
        <f>J9+J10</f>
        <v>404977.9068</v>
      </c>
    </row>
    <row r="12">
      <c r="A12" s="42">
        <v>0.095</v>
      </c>
      <c r="B12" s="45">
        <f t="shared" ref="B12:H12" si="5">(INDIRECT("FCF_PROJECTION!B8")/(1+$A12)^1)+(INDIRECT("FCF_PROJECTION!C8")/(1+$A12)^2)+(INDIRECT("FCF_PROJECTION!D8")/(1+$A12)^3)+(INDIRECT("FCF_PROJECTION!E8")/(1+$A12)^4)+(INDIRECT("FCF_PROJECTION!F8")/(1+$A12)^5)+((INDIRECT("FCF_PROJECTION!F8")*(1+B$7)/($A12-B$7))/(1+$A12)^5)</f>
        <v>296075.1262</v>
      </c>
      <c r="C12" s="45">
        <f t="shared" si="5"/>
        <v>312345.5534</v>
      </c>
      <c r="D12" s="45">
        <f t="shared" si="5"/>
        <v>330940.3273</v>
      </c>
      <c r="E12" s="65">
        <f t="shared" si="5"/>
        <v>352395.8357</v>
      </c>
      <c r="F12" s="45">
        <f t="shared" si="5"/>
        <v>377427.2621</v>
      </c>
      <c r="G12" s="45">
        <f t="shared" si="5"/>
        <v>407009.8569</v>
      </c>
      <c r="H12" s="45">
        <f t="shared" si="5"/>
        <v>442508.9708</v>
      </c>
    </row>
    <row r="13">
      <c r="A13" s="42">
        <v>0.1</v>
      </c>
      <c r="B13" s="45">
        <f t="shared" ref="B13:H13" si="6">(INDIRECT("FCF_PROJECTION!B8")/(1+$A13)^1)+(INDIRECT("FCF_PROJECTION!C8")/(1+$A13)^2)+(INDIRECT("FCF_PROJECTION!D8")/(1+$A13)^3)+(INDIRECT("FCF_PROJECTION!E8")/(1+$A13)^4)+(INDIRECT("FCF_PROJECTION!F8")/(1+$A13)^5)+((INDIRECT("FCF_PROJECTION!F8")*(1+B$7)/($A13-B$7))/(1+$A13)^5)</f>
        <v>276939.2908</v>
      </c>
      <c r="C13" s="45">
        <f t="shared" si="6"/>
        <v>291036.3015</v>
      </c>
      <c r="D13" s="45">
        <f t="shared" si="6"/>
        <v>307012.9136</v>
      </c>
      <c r="E13" s="45">
        <f t="shared" si="6"/>
        <v>325271.8989</v>
      </c>
      <c r="F13" s="45">
        <f t="shared" si="6"/>
        <v>346339.9588</v>
      </c>
      <c r="G13" s="45">
        <f t="shared" si="6"/>
        <v>370919.3621</v>
      </c>
      <c r="H13" s="45">
        <f t="shared" si="6"/>
        <v>399967.7477</v>
      </c>
    </row>
    <row r="14">
      <c r="A14" s="42">
        <v>0.105</v>
      </c>
      <c r="B14" s="45">
        <f t="shared" ref="B14:H14" si="7">(INDIRECT("FCF_PROJECTION!B8")/(1+$A14)^1)+(INDIRECT("FCF_PROJECTION!C8")/(1+$A14)^2)+(INDIRECT("FCF_PROJECTION!D8")/(1+$A14)^3)+(INDIRECT("FCF_PROJECTION!E8")/(1+$A14)^4)+(INDIRECT("FCF_PROJECTION!F8")/(1+$A14)^5)+((INDIRECT("FCF_PROJECTION!F8")*(1+B$7)/($A14-B$7))/(1+$A14)^5)</f>
        <v>259959.2762</v>
      </c>
      <c r="C14" s="45">
        <f t="shared" si="7"/>
        <v>272264.6875</v>
      </c>
      <c r="D14" s="45">
        <f t="shared" si="7"/>
        <v>286108.2752</v>
      </c>
      <c r="E14" s="45">
        <f t="shared" si="7"/>
        <v>301797.6747</v>
      </c>
      <c r="F14" s="45">
        <f t="shared" si="7"/>
        <v>319728.4169</v>
      </c>
      <c r="G14" s="45">
        <f t="shared" si="7"/>
        <v>340417.7348</v>
      </c>
      <c r="H14" s="45">
        <f t="shared" si="7"/>
        <v>364555.2724</v>
      </c>
    </row>
    <row r="15">
      <c r="A15" s="42">
        <v>0.11</v>
      </c>
      <c r="B15" s="45">
        <f t="shared" ref="B15:H15" si="8">(INDIRECT("FCF_PROJECTION!B8")/(1+$A15)^1)+(INDIRECT("FCF_PROJECTION!C8")/(1+$A15)^2)+(INDIRECT("FCF_PROJECTION!D8")/(1+$A15)^3)+(INDIRECT("FCF_PROJECTION!E8")/(1+$A15)^4)+(INDIRECT("FCF_PROJECTION!F8")/(1+$A15)^5)+((INDIRECT("FCF_PROJECTION!F8")*(1+B$7)/($A15-B$7))/(1+$A15)^5)</f>
        <v>244794.0259</v>
      </c>
      <c r="C15" s="45">
        <f t="shared" si="8"/>
        <v>255607.0868</v>
      </c>
      <c r="D15" s="45">
        <f t="shared" si="8"/>
        <v>267692.2727</v>
      </c>
      <c r="E15" s="45">
        <f t="shared" si="8"/>
        <v>281288.1067</v>
      </c>
      <c r="F15" s="45">
        <f t="shared" si="8"/>
        <v>296696.7186</v>
      </c>
      <c r="G15" s="45">
        <f t="shared" si="8"/>
        <v>314306.5608</v>
      </c>
      <c r="H15" s="45">
        <f t="shared" si="8"/>
        <v>334625.6095</v>
      </c>
    </row>
    <row r="16">
      <c r="A16" s="42">
        <v>0.115</v>
      </c>
      <c r="B16" s="45">
        <f t="shared" ref="B16:H16" si="9">(INDIRECT("FCF_PROJECTION!B8")/(1+$A16)^1)+(INDIRECT("FCF_PROJECTION!C8")/(1+$A16)^2)+(INDIRECT("FCF_PROJECTION!D8")/(1+$A16)^3)+(INDIRECT("FCF_PROJECTION!E8")/(1+$A16)^4)+(INDIRECT("FCF_PROJECTION!F8")/(1+$A16)^5)+((INDIRECT("FCF_PROJECTION!F8")*(1+B$7)/($A16-B$7))/(1+$A16)^5)</f>
        <v>231170.7128</v>
      </c>
      <c r="C16" s="45">
        <f t="shared" si="9"/>
        <v>240729.0777</v>
      </c>
      <c r="D16" s="45">
        <f t="shared" si="9"/>
        <v>251349.4832</v>
      </c>
      <c r="E16" s="45">
        <f t="shared" si="9"/>
        <v>263219.3482</v>
      </c>
      <c r="F16" s="45">
        <f t="shared" si="9"/>
        <v>276572.9462</v>
      </c>
      <c r="G16" s="45">
        <f t="shared" si="9"/>
        <v>291707.024</v>
      </c>
      <c r="H16" s="45">
        <f t="shared" si="9"/>
        <v>309003.113</v>
      </c>
    </row>
    <row r="19">
      <c r="A19" s="66" t="s">
        <v>139</v>
      </c>
    </row>
    <row r="20">
      <c r="A20" s="3" t="s">
        <v>140</v>
      </c>
    </row>
    <row r="21">
      <c r="A21" s="3" t="s">
        <v>141</v>
      </c>
      <c r="B21" s="42">
        <v>0.065</v>
      </c>
      <c r="C21" s="42">
        <v>0.075</v>
      </c>
      <c r="D21" s="42">
        <v>0.085</v>
      </c>
      <c r="E21" s="42">
        <v>0.095</v>
      </c>
      <c r="F21" s="42">
        <v>0.105</v>
      </c>
      <c r="G21" s="42">
        <v>0.115</v>
      </c>
      <c r="H21" s="42">
        <v>0.125</v>
      </c>
    </row>
    <row r="22">
      <c r="A22" s="42">
        <v>0.08</v>
      </c>
      <c r="B22" s="67">
        <f>((FCF_PROJECTION!$B$6*(1+$A22)*B$21)/(ASSUMPTIONS!$B$19-ASSUMPTIONS!$B$21))-ASSUMPTIONS!$B$29</f>
        <v>95348.2</v>
      </c>
      <c r="C22" s="67">
        <f>((FCF_PROJECTION!$B$6*(1+$A22)*C$21)/(ASSUMPTIONS!$B$19-ASSUMPTIONS!$B$21))-ASSUMPTIONS!$B$29</f>
        <v>114940.2308</v>
      </c>
      <c r="D22" s="67">
        <f>((FCF_PROJECTION!$B$6*(1+$A22)*D$21)/(ASSUMPTIONS!$B$19-ASSUMPTIONS!$B$21))-ASSUMPTIONS!$B$29</f>
        <v>134532.2615</v>
      </c>
      <c r="E22" s="67">
        <f>((FCF_PROJECTION!$B$6*(1+$A22)*E$21)/(ASSUMPTIONS!$B$19-ASSUMPTIONS!$B$21))-ASSUMPTIONS!$B$29</f>
        <v>154124.2923</v>
      </c>
      <c r="F22" s="67">
        <f>((FCF_PROJECTION!$B$6*(1+$A22)*F$21)/(ASSUMPTIONS!$B$19-ASSUMPTIONS!$B$21))-ASSUMPTIONS!$B$29</f>
        <v>173716.3231</v>
      </c>
      <c r="G22" s="67">
        <f>((FCF_PROJECTION!$B$6*(1+$A22)*G$21)/(ASSUMPTIONS!$B$19-ASSUMPTIONS!$B$21))-ASSUMPTIONS!$B$29</f>
        <v>193308.3538</v>
      </c>
      <c r="H22" s="67">
        <f>((FCF_PROJECTION!$B$6*(1+$A22)*H$21)/(ASSUMPTIONS!$B$19-ASSUMPTIONS!$B$21))-ASSUMPTIONS!$B$29</f>
        <v>212900.3846</v>
      </c>
    </row>
    <row r="23">
      <c r="A23" s="42">
        <v>0.09</v>
      </c>
      <c r="B23" s="67">
        <f>((FCF_PROJECTION!$B$6*(1+$A23)*B$21)/(ASSUMPTIONS!$B$19-ASSUMPTIONS!$B$21))-ASSUMPTIONS!$B$29</f>
        <v>96527.35</v>
      </c>
      <c r="C23" s="67">
        <f>((FCF_PROJECTION!$B$6*(1+$A23)*C$21)/(ASSUMPTIONS!$B$19-ASSUMPTIONS!$B$21))-ASSUMPTIONS!$B$29</f>
        <v>116300.7885</v>
      </c>
      <c r="D23" s="67">
        <f>((FCF_PROJECTION!$B$6*(1+$A23)*D$21)/(ASSUMPTIONS!$B$19-ASSUMPTIONS!$B$21))-ASSUMPTIONS!$B$29</f>
        <v>136074.2269</v>
      </c>
      <c r="E23" s="67">
        <f>((FCF_PROJECTION!$B$6*(1+$A23)*E$21)/(ASSUMPTIONS!$B$19-ASSUMPTIONS!$B$21))-ASSUMPTIONS!$B$29</f>
        <v>155847.6654</v>
      </c>
      <c r="F23" s="67">
        <f>((FCF_PROJECTION!$B$6*(1+$A23)*F$21)/(ASSUMPTIONS!$B$19-ASSUMPTIONS!$B$21))-ASSUMPTIONS!$B$29</f>
        <v>175621.1038</v>
      </c>
      <c r="G23" s="67">
        <f>((FCF_PROJECTION!$B$6*(1+$A23)*G$21)/(ASSUMPTIONS!$B$19-ASSUMPTIONS!$B$21))-ASSUMPTIONS!$B$29</f>
        <v>195394.5423</v>
      </c>
      <c r="H23" s="67">
        <f>((FCF_PROJECTION!$B$6*(1+$A23)*H$21)/(ASSUMPTIONS!$B$19-ASSUMPTIONS!$B$21))-ASSUMPTIONS!$B$29</f>
        <v>215167.9808</v>
      </c>
    </row>
    <row r="24">
      <c r="A24" s="42">
        <v>0.1</v>
      </c>
      <c r="B24" s="67">
        <f>((FCF_PROJECTION!$B$6*(1+$A24)*B$21)/(ASSUMPTIONS!$B$19-ASSUMPTIONS!$B$21))-ASSUMPTIONS!$B$29</f>
        <v>97706.5</v>
      </c>
      <c r="C24" s="67">
        <f>((FCF_PROJECTION!$B$6*(1+$A24)*C$21)/(ASSUMPTIONS!$B$19-ASSUMPTIONS!$B$21))-ASSUMPTIONS!$B$29</f>
        <v>117661.3462</v>
      </c>
      <c r="D24" s="67">
        <f>((FCF_PROJECTION!$B$6*(1+$A24)*D$21)/(ASSUMPTIONS!$B$19-ASSUMPTIONS!$B$21))-ASSUMPTIONS!$B$29</f>
        <v>137616.1923</v>
      </c>
      <c r="E24" s="67">
        <f>((FCF_PROJECTION!$B$6*(1+$A24)*E$21)/(ASSUMPTIONS!$B$19-ASSUMPTIONS!$B$21))-ASSUMPTIONS!$B$29</f>
        <v>157571.0385</v>
      </c>
      <c r="F24" s="67">
        <f>((FCF_PROJECTION!$B$6*(1+$A24)*F$21)/(ASSUMPTIONS!$B$19-ASSUMPTIONS!$B$21))-ASSUMPTIONS!$B$29</f>
        <v>177525.8846</v>
      </c>
      <c r="G24" s="67">
        <f>((FCF_PROJECTION!$B$6*(1+$A24)*G$21)/(ASSUMPTIONS!$B$19-ASSUMPTIONS!$B$21))-ASSUMPTIONS!$B$29</f>
        <v>197480.7308</v>
      </c>
      <c r="H24" s="67">
        <f>((FCF_PROJECTION!$B$6*(1+$A24)*H$21)/(ASSUMPTIONS!$B$19-ASSUMPTIONS!$B$21))-ASSUMPTIONS!$B$29</f>
        <v>217435.5769</v>
      </c>
    </row>
    <row r="25">
      <c r="A25" s="42">
        <v>0.11</v>
      </c>
      <c r="B25" s="67">
        <f>((FCF_PROJECTION!$B$6*(1+$A25)*B$21)/(ASSUMPTIONS!$B$19-ASSUMPTIONS!$B$21))-ASSUMPTIONS!$B$29</f>
        <v>98885.65</v>
      </c>
      <c r="C25" s="67">
        <f>((FCF_PROJECTION!$B$6*(1+$A25)*C$21)/(ASSUMPTIONS!$B$19-ASSUMPTIONS!$B$21))-ASSUMPTIONS!$B$29</f>
        <v>119021.9038</v>
      </c>
      <c r="D25" s="67">
        <f>((FCF_PROJECTION!$B$6*(1+$A25)*D$21)/(ASSUMPTIONS!$B$19-ASSUMPTIONS!$B$21))-ASSUMPTIONS!$B$29</f>
        <v>139158.1577</v>
      </c>
      <c r="E25" s="67">
        <f>((FCF_PROJECTION!$B$6*(1+$A25)*E$21)/(ASSUMPTIONS!$B$19-ASSUMPTIONS!$B$21))-ASSUMPTIONS!$B$29</f>
        <v>159294.4115</v>
      </c>
      <c r="F25" s="67">
        <f>((FCF_PROJECTION!$B$6*(1+$A25)*F$21)/(ASSUMPTIONS!$B$19-ASSUMPTIONS!$B$21))-ASSUMPTIONS!$B$29</f>
        <v>179430.6654</v>
      </c>
      <c r="G25" s="67">
        <f>((FCF_PROJECTION!$B$6*(1+$A25)*G$21)/(ASSUMPTIONS!$B$19-ASSUMPTIONS!$B$21))-ASSUMPTIONS!$B$29</f>
        <v>199566.9192</v>
      </c>
      <c r="H25" s="67">
        <f>((FCF_PROJECTION!$B$6*(1+$A25)*H$21)/(ASSUMPTIONS!$B$19-ASSUMPTIONS!$B$21))-ASSUMPTIONS!$B$29</f>
        <v>219703.1731</v>
      </c>
    </row>
    <row r="26">
      <c r="A26" s="42">
        <v>0.12</v>
      </c>
      <c r="B26" s="67">
        <f>((FCF_PROJECTION!$B$6*(1+$A26)*B$21)/(ASSUMPTIONS!$B$19-ASSUMPTIONS!$B$21))-ASSUMPTIONS!$B$29</f>
        <v>100064.8</v>
      </c>
      <c r="C26" s="67">
        <f>((FCF_PROJECTION!$B$6*(1+$A26)*C$21)/(ASSUMPTIONS!$B$19-ASSUMPTIONS!$B$21))-ASSUMPTIONS!$B$29</f>
        <v>120382.4615</v>
      </c>
      <c r="D26" s="67">
        <f>((FCF_PROJECTION!$B$6*(1+$A26)*D$21)/(ASSUMPTIONS!$B$19-ASSUMPTIONS!$B$21))-ASSUMPTIONS!$B$29</f>
        <v>140700.1231</v>
      </c>
      <c r="E26" s="67">
        <f>((FCF_PROJECTION!$B$6*(1+$A26)*E$21)/(ASSUMPTIONS!$B$19-ASSUMPTIONS!$B$21))-ASSUMPTIONS!$B$29</f>
        <v>161017.7846</v>
      </c>
      <c r="F26" s="67">
        <f>((FCF_PROJECTION!$B$6*(1+$A26)*F$21)/(ASSUMPTIONS!$B$19-ASSUMPTIONS!$B$21))-ASSUMPTIONS!$B$29</f>
        <v>181335.4462</v>
      </c>
      <c r="G26" s="67">
        <f>((FCF_PROJECTION!$B$6*(1+$A26)*G$21)/(ASSUMPTIONS!$B$19-ASSUMPTIONS!$B$21))-ASSUMPTIONS!$B$29</f>
        <v>201653.1077</v>
      </c>
      <c r="H26" s="67">
        <f>((FCF_PROJECTION!$B$6*(1+$A26)*H$21)/(ASSUMPTIONS!$B$19-ASSUMPTIONS!$B$21))-ASSUMPTIONS!$B$29</f>
        <v>221970.7692</v>
      </c>
    </row>
    <row r="27">
      <c r="A27" s="42">
        <v>0.13</v>
      </c>
      <c r="B27" s="67">
        <f>((FCF_PROJECTION!$B$6*(1+$A27)*B$21)/(ASSUMPTIONS!$B$19-ASSUMPTIONS!$B$21))-ASSUMPTIONS!$B$29</f>
        <v>101243.95</v>
      </c>
      <c r="C27" s="67">
        <f>((FCF_PROJECTION!$B$6*(1+$A27)*C$21)/(ASSUMPTIONS!$B$19-ASSUMPTIONS!$B$21))-ASSUMPTIONS!$B$29</f>
        <v>121743.0192</v>
      </c>
      <c r="D27" s="67">
        <f>((FCF_PROJECTION!$B$6*(1+$A27)*D$21)/(ASSUMPTIONS!$B$19-ASSUMPTIONS!$B$21))-ASSUMPTIONS!$B$29</f>
        <v>142242.0885</v>
      </c>
      <c r="E27" s="67">
        <f>((FCF_PROJECTION!$B$6*(1+$A27)*E$21)/(ASSUMPTIONS!$B$19-ASSUMPTIONS!$B$21))-ASSUMPTIONS!$B$29</f>
        <v>162741.1577</v>
      </c>
      <c r="F27" s="67">
        <f>((FCF_PROJECTION!$B$6*(1+$A27)*F$21)/(ASSUMPTIONS!$B$19-ASSUMPTIONS!$B$21))-ASSUMPTIONS!$B$29</f>
        <v>183240.2269</v>
      </c>
      <c r="G27" s="67">
        <f>((FCF_PROJECTION!$B$6*(1+$A27)*G$21)/(ASSUMPTIONS!$B$19-ASSUMPTIONS!$B$21))-ASSUMPTIONS!$B$29</f>
        <v>203739.2962</v>
      </c>
      <c r="H27" s="67">
        <f>((FCF_PROJECTION!$B$6*(1+$A27)*H$21)/(ASSUMPTIONS!$B$19-ASSUMPTIONS!$B$21))-ASSUMPTIONS!$B$29</f>
        <v>224238.3654</v>
      </c>
    </row>
    <row r="28">
      <c r="A28" s="42">
        <v>0.14</v>
      </c>
      <c r="B28" s="67">
        <f>((FCF_PROJECTION!$B$6*(1+$A28)*B$21)/(ASSUMPTIONS!$B$19-ASSUMPTIONS!$B$21))-ASSUMPTIONS!$B$29</f>
        <v>102423.1</v>
      </c>
      <c r="C28" s="67">
        <f>((FCF_PROJECTION!$B$6*(1+$A28)*C$21)/(ASSUMPTIONS!$B$19-ASSUMPTIONS!$B$21))-ASSUMPTIONS!$B$29</f>
        <v>123103.5769</v>
      </c>
      <c r="D28" s="67">
        <f>((FCF_PROJECTION!$B$6*(1+$A28)*D$21)/(ASSUMPTIONS!$B$19-ASSUMPTIONS!$B$21))-ASSUMPTIONS!$B$29</f>
        <v>143784.0538</v>
      </c>
      <c r="E28" s="67">
        <f>((FCF_PROJECTION!$B$6*(1+$A28)*E$21)/(ASSUMPTIONS!$B$19-ASSUMPTIONS!$B$21))-ASSUMPTIONS!$B$29</f>
        <v>164464.5308</v>
      </c>
      <c r="F28" s="67">
        <f>((FCF_PROJECTION!$B$6*(1+$A28)*F$21)/(ASSUMPTIONS!$B$19-ASSUMPTIONS!$B$21))-ASSUMPTIONS!$B$29</f>
        <v>185145.0077</v>
      </c>
      <c r="G28" s="67">
        <f>((FCF_PROJECTION!$B$6*(1+$A28)*G$21)/(ASSUMPTIONS!$B$19-ASSUMPTIONS!$B$21))-ASSUMPTIONS!$B$29</f>
        <v>205825.4846</v>
      </c>
      <c r="H28" s="67">
        <f>((FCF_PROJECTION!$B$6*(1+$A28)*H$21)/(ASSUMPTIONS!$B$19-ASSUMPTIONS!$B$21))-ASSUMPTIONS!$B$29</f>
        <v>226505.9615</v>
      </c>
    </row>
    <row r="29">
      <c r="A29" s="42">
        <v>0.15</v>
      </c>
      <c r="B29" s="67">
        <f>((FCF_PROJECTION!$B$6*(1+$A29)*B$21)/(ASSUMPTIONS!$B$19-ASSUMPTIONS!$B$21))-ASSUMPTIONS!$B$29</f>
        <v>103602.25</v>
      </c>
      <c r="C29" s="67">
        <f>((FCF_PROJECTION!$B$6*(1+$A29)*C$21)/(ASSUMPTIONS!$B$19-ASSUMPTIONS!$B$21))-ASSUMPTIONS!$B$29</f>
        <v>124464.1346</v>
      </c>
      <c r="D29" s="67">
        <f>((FCF_PROJECTION!$B$6*(1+$A29)*D$21)/(ASSUMPTIONS!$B$19-ASSUMPTIONS!$B$21))-ASSUMPTIONS!$B$29</f>
        <v>145326.0192</v>
      </c>
      <c r="E29" s="67">
        <f>((FCF_PROJECTION!$B$6*(1+$A29)*E$21)/(ASSUMPTIONS!$B$19-ASSUMPTIONS!$B$21))-ASSUMPTIONS!$B$29</f>
        <v>166187.9038</v>
      </c>
      <c r="F29" s="67">
        <f>((FCF_PROJECTION!$B$6*(1+$A29)*F$21)/(ASSUMPTIONS!$B$19-ASSUMPTIONS!$B$21))-ASSUMPTIONS!$B$29</f>
        <v>187049.7885</v>
      </c>
      <c r="G29" s="67">
        <f>((FCF_PROJECTION!$B$6*(1+$A29)*G$21)/(ASSUMPTIONS!$B$19-ASSUMPTIONS!$B$21))-ASSUMPTIONS!$B$29</f>
        <v>207911.6731</v>
      </c>
      <c r="H29" s="67">
        <f>((FCF_PROJECTION!$B$6*(1+$A29)*H$21)/(ASSUMPTIONS!$B$19-ASSUMPTIONS!$B$21))-ASSUMPTIONS!$B$29</f>
        <v>228773.5577</v>
      </c>
    </row>
    <row r="30">
      <c r="A30" s="42">
        <v>0.16</v>
      </c>
      <c r="B30" s="67">
        <f>((FCF_PROJECTION!$B$6*(1+$A30)*B$21)/(ASSUMPTIONS!$B$19-ASSUMPTIONS!$B$21))-ASSUMPTIONS!$B$29</f>
        <v>104781.4</v>
      </c>
      <c r="C30" s="67">
        <f>((FCF_PROJECTION!$B$6*(1+$A30)*C$21)/(ASSUMPTIONS!$B$19-ASSUMPTIONS!$B$21))-ASSUMPTIONS!$B$29</f>
        <v>125824.6923</v>
      </c>
      <c r="D30" s="67">
        <f>((FCF_PROJECTION!$B$6*(1+$A30)*D$21)/(ASSUMPTIONS!$B$19-ASSUMPTIONS!$B$21))-ASSUMPTIONS!$B$29</f>
        <v>146867.9846</v>
      </c>
      <c r="E30" s="67">
        <f>((FCF_PROJECTION!$B$6*(1+$A30)*E$21)/(ASSUMPTIONS!$B$19-ASSUMPTIONS!$B$21))-ASSUMPTIONS!$B$29</f>
        <v>167911.2769</v>
      </c>
      <c r="F30" s="67">
        <f>((FCF_PROJECTION!$B$6*(1+$A30)*F$21)/(ASSUMPTIONS!$B$19-ASSUMPTIONS!$B$21))-ASSUMPTIONS!$B$29</f>
        <v>188954.5692</v>
      </c>
      <c r="G30" s="67">
        <f>((FCF_PROJECTION!$B$6*(1+$A30)*G$21)/(ASSUMPTIONS!$B$19-ASSUMPTIONS!$B$21))-ASSUMPTIONS!$B$29</f>
        <v>209997.8615</v>
      </c>
      <c r="H30" s="67">
        <f>((FCF_PROJECTION!$B$6*(1+$A30)*H$21)/(ASSUMPTIONS!$B$19-ASSUMPTIONS!$B$21))-ASSUMPTIONS!$B$29</f>
        <v>231041.1538</v>
      </c>
    </row>
    <row r="33">
      <c r="A33" s="68" t="s">
        <v>142</v>
      </c>
    </row>
  </sheetData>
  <drawing r:id="rId1"/>
</worksheet>
</file>